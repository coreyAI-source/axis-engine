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showObjects="none"/>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
    </mc:Choice>
  </mc:AlternateContent>
  <xr:revisionPtr revIDLastSave="0" documentId="8_{CB4C96C6-3C05-4BE4-835A-CB29992CDCAE}" xr6:coauthVersionLast="47" xr6:coauthVersionMax="47" xr10:uidLastSave="{00000000-0000-0000-0000-000000000000}"/>
  <bookViews>
    <workbookView xWindow="-8780" yWindow="-21710" windowWidth="38620" windowHeight="21100" xr2:uid="{00000000-000D-0000-FFFF-FFFF00000000}"/>
  </bookViews>
  <sheets>
    <sheet name="Audit information" sheetId="11" r:id="rId1"/>
    <sheet name="Document review report" sheetId="1" r:id="rId2"/>
    <sheet name="Doc review findings" sheetId="10" r:id="rId3"/>
    <sheet name="Audit plan" sheetId="4" r:id="rId4"/>
    <sheet name="Audit timetable (team)" sheetId="13" r:id="rId5"/>
    <sheet name="Audit timetable (principal)" sheetId="6" r:id="rId6"/>
    <sheet name="Audit Report" sheetId="7" r:id="rId7"/>
    <sheet name="Audit finding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5" i="9" l="1"/>
  <c r="A94" i="9"/>
  <c r="B20" i="4"/>
  <c r="H18" i="11"/>
  <c r="A20" i="7" s="1"/>
  <c r="H19" i="11"/>
  <c r="B22" i="7" s="1"/>
  <c r="A6" i="9"/>
  <c r="O319" i="13"/>
  <c r="N319" i="13"/>
  <c r="M319" i="13"/>
  <c r="L319" i="13"/>
  <c r="J319" i="13"/>
  <c r="I319" i="13"/>
  <c r="H319" i="13"/>
  <c r="G319" i="13"/>
  <c r="O284" i="13"/>
  <c r="N284" i="13"/>
  <c r="M284" i="13"/>
  <c r="L284" i="13"/>
  <c r="J284" i="13"/>
  <c r="I284" i="13"/>
  <c r="H284" i="13"/>
  <c r="G284" i="13"/>
  <c r="O250" i="13"/>
  <c r="N250" i="13"/>
  <c r="M250" i="13"/>
  <c r="L250" i="13"/>
  <c r="J250" i="13"/>
  <c r="I250" i="13"/>
  <c r="H250" i="13"/>
  <c r="G250" i="13"/>
  <c r="O214" i="13"/>
  <c r="N214" i="13"/>
  <c r="M214" i="13"/>
  <c r="L214" i="13"/>
  <c r="J214" i="13"/>
  <c r="I214" i="13"/>
  <c r="H214" i="13"/>
  <c r="G214" i="13"/>
  <c r="O178" i="13"/>
  <c r="N178" i="13"/>
  <c r="M178" i="13"/>
  <c r="L178" i="13"/>
  <c r="J178" i="13"/>
  <c r="I178" i="13"/>
  <c r="H178" i="13"/>
  <c r="G178" i="13"/>
  <c r="O142" i="13"/>
  <c r="N142" i="13"/>
  <c r="M142" i="13"/>
  <c r="L142" i="13"/>
  <c r="J142" i="13"/>
  <c r="I142" i="13"/>
  <c r="H142" i="13"/>
  <c r="G142" i="13"/>
  <c r="O106" i="13"/>
  <c r="N106" i="13"/>
  <c r="M106" i="13"/>
  <c r="L106" i="13"/>
  <c r="J106" i="13"/>
  <c r="I106" i="13"/>
  <c r="H106" i="13"/>
  <c r="G106" i="13"/>
  <c r="O71" i="13"/>
  <c r="N71" i="13"/>
  <c r="M71" i="13"/>
  <c r="L71" i="13"/>
  <c r="J71" i="13"/>
  <c r="I71" i="13"/>
  <c r="H71" i="13"/>
  <c r="G71" i="13"/>
  <c r="O37" i="13"/>
  <c r="N37" i="13"/>
  <c r="M37" i="13"/>
  <c r="L37" i="13"/>
  <c r="J37" i="13"/>
  <c r="I37" i="13"/>
  <c r="H37" i="13"/>
  <c r="G37" i="13"/>
  <c r="N3" i="13"/>
  <c r="L3" i="13"/>
  <c r="I3" i="13"/>
  <c r="G3" i="13"/>
  <c r="E316" i="6"/>
  <c r="E281" i="6"/>
  <c r="E246" i="6"/>
  <c r="E211" i="6"/>
  <c r="E175" i="6"/>
  <c r="E140" i="6"/>
  <c r="E105" i="6"/>
  <c r="A315" i="6"/>
  <c r="C317" i="6"/>
  <c r="A280" i="6"/>
  <c r="C282" i="6"/>
  <c r="A245" i="6"/>
  <c r="C247" i="6"/>
  <c r="A210" i="6"/>
  <c r="C212" i="6"/>
  <c r="A174" i="6"/>
  <c r="C176" i="6"/>
  <c r="M318" i="13" l="1"/>
  <c r="H318" i="13"/>
  <c r="E318" i="13"/>
  <c r="A317" i="13"/>
  <c r="E319" i="13"/>
  <c r="C319" i="13"/>
  <c r="M283" i="13"/>
  <c r="H283" i="13"/>
  <c r="E283" i="13"/>
  <c r="A282" i="13"/>
  <c r="E284" i="13"/>
  <c r="C284" i="13"/>
  <c r="M249" i="13"/>
  <c r="H249" i="13"/>
  <c r="E249" i="13"/>
  <c r="A248" i="13"/>
  <c r="E250" i="13"/>
  <c r="C250" i="13"/>
  <c r="M213" i="13"/>
  <c r="H213" i="13"/>
  <c r="E213" i="13"/>
  <c r="A212" i="13"/>
  <c r="E214" i="13"/>
  <c r="C214" i="13"/>
  <c r="M177" i="13"/>
  <c r="H177" i="13"/>
  <c r="E177" i="13"/>
  <c r="A176" i="13"/>
  <c r="E178" i="13"/>
  <c r="C178" i="13"/>
  <c r="B14" i="7"/>
  <c r="B13" i="4"/>
  <c r="B16" i="1"/>
  <c r="B13" i="1"/>
  <c r="B15" i="4"/>
  <c r="B16" i="7"/>
  <c r="B5" i="11" l="1"/>
  <c r="B12" i="7" l="1"/>
  <c r="B10" i="4"/>
  <c r="C24" i="1"/>
  <c r="C23" i="1"/>
  <c r="C25" i="1" s="1"/>
  <c r="B26" i="1" s="1"/>
  <c r="H16" i="11"/>
  <c r="H15" i="11"/>
  <c r="H13" i="11" l="1"/>
  <c r="H10" i="11"/>
  <c r="H8" i="11"/>
  <c r="A83" i="9" l="1"/>
  <c r="A85" i="9"/>
  <c r="A84" i="9"/>
  <c r="A81" i="9"/>
  <c r="A82" i="9" s="1"/>
  <c r="A80" i="9"/>
  <c r="A79" i="9"/>
  <c r="A77" i="9"/>
  <c r="A78" i="9" s="1"/>
  <c r="A76" i="9"/>
  <c r="A75" i="9"/>
  <c r="A73" i="9"/>
  <c r="A74" i="9" s="1"/>
  <c r="A72" i="9"/>
  <c r="A71" i="9"/>
  <c r="A69" i="9"/>
  <c r="A70" i="9" s="1"/>
  <c r="A68" i="9"/>
  <c r="A67" i="9"/>
  <c r="A87" i="9"/>
  <c r="A88" i="9"/>
  <c r="A65" i="9"/>
  <c r="A66" i="9" s="1"/>
  <c r="A64" i="9"/>
  <c r="A63" i="9"/>
  <c r="A61" i="9"/>
  <c r="A62" i="9" s="1"/>
  <c r="A60" i="9"/>
  <c r="A59" i="9"/>
  <c r="A57" i="9"/>
  <c r="A58" i="9" s="1"/>
  <c r="A56" i="9"/>
  <c r="A55" i="9"/>
  <c r="A53" i="9"/>
  <c r="A54" i="9" s="1"/>
  <c r="A52" i="9"/>
  <c r="A51" i="9"/>
  <c r="A49" i="9"/>
  <c r="A50" i="9" s="1"/>
  <c r="A48" i="9"/>
  <c r="A47" i="9"/>
  <c r="A45" i="9"/>
  <c r="A46" i="9" s="1"/>
  <c r="A44" i="9"/>
  <c r="A43" i="9"/>
  <c r="A41" i="9"/>
  <c r="A42" i="9" s="1"/>
  <c r="A40" i="9"/>
  <c r="A39" i="9"/>
  <c r="A37" i="9"/>
  <c r="A38" i="9" s="1"/>
  <c r="A36" i="9"/>
  <c r="A35" i="9"/>
  <c r="A33" i="9"/>
  <c r="A34" i="9" s="1"/>
  <c r="A32" i="9"/>
  <c r="A31" i="9"/>
  <c r="A27" i="9"/>
  <c r="A29" i="9"/>
  <c r="A30" i="9" s="1"/>
  <c r="A28" i="9"/>
  <c r="C20" i="7"/>
  <c r="B17" i="7"/>
  <c r="A15" i="7"/>
  <c r="B15" i="7"/>
  <c r="B13" i="7"/>
  <c r="A12" i="7"/>
  <c r="B11" i="7"/>
  <c r="B10" i="7"/>
  <c r="B9" i="7"/>
  <c r="B7" i="7"/>
  <c r="B6" i="7"/>
  <c r="B5" i="7"/>
  <c r="A3" i="7"/>
  <c r="A1" i="13"/>
  <c r="A1" i="6"/>
  <c r="A139" i="6"/>
  <c r="C141" i="6"/>
  <c r="A104" i="6"/>
  <c r="C106" i="6"/>
  <c r="E70" i="6"/>
  <c r="A69" i="6"/>
  <c r="C71" i="6"/>
  <c r="E36" i="6"/>
  <c r="E2" i="6"/>
  <c r="A35" i="6"/>
  <c r="A35" i="13"/>
  <c r="C37" i="6"/>
  <c r="A14" i="4"/>
  <c r="A12" i="1"/>
  <c r="C3" i="6"/>
  <c r="E3" i="13"/>
  <c r="M141" i="13"/>
  <c r="H141" i="13"/>
  <c r="E141" i="13"/>
  <c r="A140" i="13"/>
  <c r="E142" i="13"/>
  <c r="C142" i="13"/>
  <c r="M70" i="13"/>
  <c r="H70" i="13"/>
  <c r="E70" i="13"/>
  <c r="M105" i="13"/>
  <c r="H105" i="13"/>
  <c r="E105" i="13"/>
  <c r="A104" i="13"/>
  <c r="E106" i="13"/>
  <c r="C106" i="13"/>
  <c r="E71" i="13"/>
  <c r="C71" i="13"/>
  <c r="E37" i="13"/>
  <c r="C37" i="13"/>
  <c r="M36" i="13"/>
  <c r="H36" i="13"/>
  <c r="O3" i="13"/>
  <c r="M3" i="13"/>
  <c r="H3" i="13"/>
  <c r="J3" i="13"/>
  <c r="A69" i="13"/>
  <c r="C3" i="13"/>
  <c r="M2" i="13"/>
  <c r="H2" i="13"/>
  <c r="E2" i="13"/>
  <c r="E36" i="13"/>
  <c r="B16" i="4"/>
  <c r="B14" i="4"/>
  <c r="B12" i="4"/>
  <c r="A10" i="4"/>
  <c r="B9" i="4"/>
  <c r="B8" i="4"/>
  <c r="B7" i="4"/>
  <c r="B6" i="4"/>
  <c r="B5" i="4"/>
  <c r="A3" i="4"/>
  <c r="A12" i="10"/>
  <c r="A5" i="10"/>
  <c r="B17" i="1"/>
  <c r="B15" i="1"/>
  <c r="B12" i="1"/>
  <c r="B11" i="1"/>
  <c r="B9" i="1"/>
  <c r="B8" i="1"/>
  <c r="B7" i="1"/>
  <c r="B5" i="1"/>
  <c r="B4" i="1"/>
  <c r="B3" i="1"/>
  <c r="A7" i="9"/>
  <c r="A8" i="9" s="1"/>
  <c r="A23" i="9"/>
  <c r="A24" i="9" s="1"/>
  <c r="A22" i="9"/>
  <c r="A21" i="9"/>
  <c r="A19" i="9"/>
  <c r="A20" i="9" s="1"/>
  <c r="A18" i="9"/>
  <c r="A17" i="9"/>
  <c r="A15" i="9"/>
  <c r="A16" i="9" s="1"/>
  <c r="A14" i="9"/>
  <c r="A13" i="9"/>
  <c r="A11" i="9"/>
  <c r="A12" i="9" s="1"/>
  <c r="A10" i="9"/>
  <c r="A9" i="9"/>
  <c r="A5" i="9"/>
  <c r="C23" i="7" l="1"/>
  <c r="C21" i="7" l="1"/>
  <c r="C22" i="7"/>
</calcChain>
</file>

<file path=xl/sharedStrings.xml><?xml version="1.0" encoding="utf-8"?>
<sst xmlns="http://schemas.openxmlformats.org/spreadsheetml/2006/main" count="433" uniqueCount="187">
  <si>
    <t>AUDIT INFORMATION</t>
  </si>
  <si>
    <t>UPDATE THIS COLUMN</t>
  </si>
  <si>
    <t>SPECIAL INSTRUCTIONS:</t>
  </si>
  <si>
    <t>KEY</t>
  </si>
  <si>
    <t>THIS COLUMN SHOULD NOT NEED TO BE UPDATED</t>
  </si>
  <si>
    <t>DO NOT CHANGE THESE</t>
  </si>
  <si>
    <t>Auditee</t>
  </si>
  <si>
    <t>&lt;&lt;Auditee&gt;&gt;</t>
  </si>
  <si>
    <t>Yes</t>
  </si>
  <si>
    <t xml:space="preserve">, </t>
  </si>
  <si>
    <t>Audit duration</t>
  </si>
  <si>
    <t>##</t>
  </si>
  <si>
    <t>&lt;-</t>
  </si>
  <si>
    <t>NUMBER OF DAYS</t>
  </si>
  <si>
    <t>No</t>
  </si>
  <si>
    <t>Audit start date</t>
  </si>
  <si>
    <t>DD/MM/YYYY</t>
  </si>
  <si>
    <r>
      <t xml:space="preserve">IF A CELL IN SUBSEQUENT SHEETS IS HIGHLIGHTED IN </t>
    </r>
    <r>
      <rPr>
        <b/>
        <sz val="11"/>
        <color theme="5"/>
        <rFont val="Calibri"/>
        <family val="2"/>
        <scheme val="minor"/>
      </rPr>
      <t>ORANGE</t>
    </r>
    <r>
      <rPr>
        <sz val="11"/>
        <color theme="0"/>
        <rFont val="Calibri"/>
        <family val="2"/>
        <scheme val="minor"/>
      </rPr>
      <t xml:space="preserve">, UPDATE INFORMATION </t>
    </r>
    <r>
      <rPr>
        <b/>
        <sz val="11"/>
        <color theme="0"/>
        <rFont val="Calibri"/>
        <family val="2"/>
        <scheme val="minor"/>
      </rPr>
      <t>IN THIS SHEET</t>
    </r>
    <r>
      <rPr>
        <sz val="11"/>
        <color theme="0"/>
        <rFont val="Calibri"/>
        <family val="2"/>
        <scheme val="minor"/>
      </rPr>
      <t xml:space="preserve">
IF A CELL IN SUBSEQUENT SHEETS IS HIGHLIGHTED IN </t>
    </r>
    <r>
      <rPr>
        <b/>
        <sz val="11"/>
        <color rgb="FFFF0000"/>
        <rFont val="Calibri"/>
        <family val="2"/>
        <scheme val="minor"/>
      </rPr>
      <t>RED</t>
    </r>
    <r>
      <rPr>
        <sz val="11"/>
        <color theme="0"/>
        <rFont val="Calibri"/>
        <family val="2"/>
        <scheme val="minor"/>
      </rPr>
      <t xml:space="preserve">, UPDATE INFORMATION </t>
    </r>
    <r>
      <rPr>
        <b/>
        <sz val="11"/>
        <color theme="0"/>
        <rFont val="Calibri"/>
        <family val="2"/>
        <scheme val="minor"/>
      </rPr>
      <t>IN THAT SHEET</t>
    </r>
  </si>
  <si>
    <t>N/A</t>
  </si>
  <si>
    <t>Audit end date</t>
  </si>
  <si>
    <t xml:space="preserve">, and </t>
  </si>
  <si>
    <t>Key auditee contact</t>
  </si>
  <si>
    <t>&lt;&lt;auditee contact&gt;&gt;</t>
  </si>
  <si>
    <t>TEXT FIELDS</t>
  </si>
  <si>
    <t xml:space="preserve"> and </t>
  </si>
  <si>
    <t>Audit body</t>
  </si>
  <si>
    <t>&lt;&lt;Audit body&gt;&gt;</t>
  </si>
  <si>
    <t>No critical findings were identified during this document review.</t>
  </si>
  <si>
    <t>Lead auditor</t>
  </si>
  <si>
    <t>&lt;&lt;Lead auditor&gt;&gt;</t>
  </si>
  <si>
    <t>If you need to update this text, use cells E9 and F9</t>
  </si>
  <si>
    <t>-&gt;</t>
  </si>
  <si>
    <t xml:space="preserve">Based on information reviewed during the document review, the following items are deemed as being of critical significance within </t>
  </si>
  <si>
    <t>'s management system:</t>
  </si>
  <si>
    <t>Number of audit team members</t>
  </si>
  <si>
    <t>#</t>
  </si>
  <si>
    <t>EXCLUDING LEAD AUDITOR</t>
  </si>
  <si>
    <t>No non-critical findings were identified during this document review.</t>
  </si>
  <si>
    <t>Team member 1</t>
  </si>
  <si>
    <t>&lt;&lt;Team member 1&gt;&gt;</t>
  </si>
  <si>
    <t>If you need to update this text, use cells E11 and F11</t>
  </si>
  <si>
    <t xml:space="preserve">Based on information reviewed during the document review, it is not clear how </t>
  </si>
  <si>
    <t xml:space="preserve"> define or control the following:</t>
  </si>
  <si>
    <t>Team member 2</t>
  </si>
  <si>
    <t>&lt;&lt;Team member 2&gt;&gt;</t>
  </si>
  <si>
    <t>No major nonconformances were identified during this audit.</t>
  </si>
  <si>
    <t>Team member 3</t>
  </si>
  <si>
    <t>&lt;&lt;Team member 3&gt;&gt;</t>
  </si>
  <si>
    <t>No minor nonconformances were identified during this audit.</t>
  </si>
  <si>
    <t>Team member 4</t>
  </si>
  <si>
    <t>&lt;&lt;Team member 4&gt;&gt;</t>
  </si>
  <si>
    <t>If you need to update this text, use cells E14 and F14</t>
  </si>
  <si>
    <t xml:space="preserve">In order to prevent potential future nonconformaces, it may be of benefit for </t>
  </si>
  <si>
    <t xml:space="preserve"> to consider the following:</t>
  </si>
  <si>
    <t>Team member 5</t>
  </si>
  <si>
    <t>&lt;&lt;Team member 5&gt;&gt;</t>
  </si>
  <si>
    <t>Based on information reviewed and processes observed at the time of audit, the audit team wish to highlight the following positive findings:</t>
  </si>
  <si>
    <t>Audit objective</t>
  </si>
  <si>
    <t>To determine the capablity of the management system to meet the audit criteria, and to identify areas of potential improvement.</t>
  </si>
  <si>
    <t>If you need to update this text, use cells E16 and F16</t>
  </si>
  <si>
    <t xml:space="preserve">Thank you for selecting </t>
  </si>
  <si>
    <t xml:space="preserve"> for the provision of audit services. Please refer to the following information regarding your audit.</t>
  </si>
  <si>
    <t>Audit scope</t>
  </si>
  <si>
    <t>&lt;&lt;Audit scope&gt;&gt;</t>
  </si>
  <si>
    <t>If you need to update this text, use cells E17 and F17</t>
  </si>
  <si>
    <t xml:space="preserve"> for the provision of audit services. Please refer to the following information regarding the outcome of your audit.</t>
  </si>
  <si>
    <t>Audit criteria</t>
  </si>
  <si>
    <t>&lt;&lt;Audit criteria&gt;&gt;</t>
  </si>
  <si>
    <t>The audit will proceed once critical findings are sufficiently addressed.</t>
  </si>
  <si>
    <t>Audit client</t>
  </si>
  <si>
    <t>&lt;&lt;Audit client&gt;&gt;</t>
  </si>
  <si>
    <t>If you need to update this text, use cells E19 and F19</t>
  </si>
  <si>
    <t xml:space="preserve">Major nonconformances were identified during this audit and will need to be corrected and verified within </t>
  </si>
  <si>
    <t xml:space="preserve"> of the date of this report.</t>
  </si>
  <si>
    <t>Main location</t>
  </si>
  <si>
    <t>&lt;&lt;Main location&gt;&gt;</t>
  </si>
  <si>
    <t>If you need to update this text, use cells E20 and F20</t>
  </si>
  <si>
    <t xml:space="preserve">at a follow up audit within </t>
  </si>
  <si>
    <t xml:space="preserve"> of this report.</t>
  </si>
  <si>
    <t>Number of other locations</t>
  </si>
  <si>
    <t>If uncertain of other sites, enter "1" here, and</t>
  </si>
  <si>
    <t>Location 1</t>
  </si>
  <si>
    <t>&lt;&lt;Location 1&gt;&gt;</t>
  </si>
  <si>
    <t>"To be confirmed" here</t>
  </si>
  <si>
    <t>NC NUMBERING CONVENTION</t>
  </si>
  <si>
    <t>Location 2</t>
  </si>
  <si>
    <t>&lt;&lt;Location 2&gt;&gt;</t>
  </si>
  <si>
    <t>NC01</t>
  </si>
  <si>
    <t>Location 3</t>
  </si>
  <si>
    <t>&lt;&lt;Location 3&gt;&gt;</t>
  </si>
  <si>
    <t>NC02</t>
  </si>
  <si>
    <t>Location 4</t>
  </si>
  <si>
    <t>&lt;&lt;Location 4&gt;&gt;</t>
  </si>
  <si>
    <t>NC03</t>
  </si>
  <si>
    <t>Location 5</t>
  </si>
  <si>
    <t>&lt;&lt;Location 5&gt;&gt;</t>
  </si>
  <si>
    <t>NC04</t>
  </si>
  <si>
    <t>NC05</t>
  </si>
  <si>
    <t>DOCUMENT REVIEW</t>
  </si>
  <si>
    <t>NC06</t>
  </si>
  <si>
    <t>Documentation reviewed</t>
  </si>
  <si>
    <t>&lt;&lt;Document name&gt;&gt;</t>
  </si>
  <si>
    <t>NC07</t>
  </si>
  <si>
    <t># of critical findings</t>
  </si>
  <si>
    <t>NC08</t>
  </si>
  <si>
    <t># of non-critical findings</t>
  </si>
  <si>
    <t>NC09</t>
  </si>
  <si>
    <t>NC10</t>
  </si>
  <si>
    <t>AUDIT FINDINGS</t>
  </si>
  <si>
    <t>NC11</t>
  </si>
  <si>
    <t># of major NC's</t>
  </si>
  <si>
    <t>NC12</t>
  </si>
  <si>
    <t>Major NC follow up time</t>
  </si>
  <si>
    <t>90 days</t>
  </si>
  <si>
    <t xml:space="preserve">&lt;- </t>
  </si>
  <si>
    <t>Change if required, 90 days is standard</t>
  </si>
  <si>
    <t>NC13</t>
  </si>
  <si>
    <t>Onsite follow up?</t>
  </si>
  <si>
    <t>Yes/No, or blank if no major NCs</t>
  </si>
  <si>
    <t>NC14</t>
  </si>
  <si>
    <t># of minor NC's</t>
  </si>
  <si>
    <t>NC15</t>
  </si>
  <si>
    <t>Observations</t>
  </si>
  <si>
    <t>Yes/No</t>
  </si>
  <si>
    <t>NC16</t>
  </si>
  <si>
    <t>Positive findings</t>
  </si>
  <si>
    <t>NC17</t>
  </si>
  <si>
    <t>NC18</t>
  </si>
  <si>
    <t>NC19</t>
  </si>
  <si>
    <t>NC20</t>
  </si>
  <si>
    <t>Document Review Report</t>
  </si>
  <si>
    <t>Organisation to be audited:</t>
  </si>
  <si>
    <t>Prepared by:</t>
  </si>
  <si>
    <t>Audit client:</t>
  </si>
  <si>
    <t>Audit objective:</t>
  </si>
  <si>
    <t>Audit scope:</t>
  </si>
  <si>
    <t>Audit criteria:</t>
  </si>
  <si>
    <t>Documentation reviewed:</t>
  </si>
  <si>
    <t>Audit team members:</t>
  </si>
  <si>
    <t>Main audit location:</t>
  </si>
  <si>
    <t>Other location/s:</t>
  </si>
  <si>
    <t>Distribution list:</t>
  </si>
  <si>
    <t>Documentation review risks &amp; results:</t>
  </si>
  <si>
    <t>Audit objective, scope and criteria are appropriate based on the document review.</t>
  </si>
  <si>
    <t>The time allowed for the document review was sufficient.</t>
  </si>
  <si>
    <t>The audit team, including any technical experts, has the required competence.</t>
  </si>
  <si>
    <t>Critical findings were identified during this document review and these will need to be corrected and verified before the site audit can commence.</t>
  </si>
  <si>
    <t>Non-critical findings were identified during this audit and failure to correct these may result in nonconformances at the site audit.</t>
  </si>
  <si>
    <t>The site audit should proceed as planned.</t>
  </si>
  <si>
    <t>Planned commencement date:</t>
  </si>
  <si>
    <t>Actions to address any shortcomings:</t>
  </si>
  <si>
    <t>- Refer to attached document review findings.</t>
  </si>
  <si>
    <t>Signed:</t>
  </si>
  <si>
    <t>Date:</t>
  </si>
  <si>
    <t>Document Review Findings</t>
  </si>
  <si>
    <t>Critical findings</t>
  </si>
  <si>
    <t>Non-critical findings</t>
  </si>
  <si>
    <t>Audit Plan</t>
  </si>
  <si>
    <t>Client requesting audit:</t>
  </si>
  <si>
    <t>For a breakdown of audit activities, refer to attached audit timetable.</t>
  </si>
  <si>
    <t>Other locations:</t>
  </si>
  <si>
    <t>Auditee contact:</t>
  </si>
  <si>
    <t>Logistic and resource requirements:</t>
  </si>
  <si>
    <t>Meeting room; quiet working room (can be same as meeting room); lunch</t>
  </si>
  <si>
    <t>Other requirements:</t>
  </si>
  <si>
    <t>&lt;&lt;PPE; induction requirements; environmental concerns; cultural, religious, social, or dress requirements&gt;&gt;</t>
  </si>
  <si>
    <t xml:space="preserve">Please note: An audit is based on a sample of an organisation's management system and processes. Therefore, any audit findings are indicative of performance, however may not be reflected in the organisation's broader operations. It is possible that other nonconformances may be present within the organisation at the time of audit, however won't be uncovered due to the sample taken. </t>
  </si>
  <si>
    <t>All information and documentation collected during the audit will be held in the highest confidence.</t>
  </si>
  <si>
    <t>Audit date:</t>
  </si>
  <si>
    <t>Lead auditor:</t>
  </si>
  <si>
    <t>Team member:</t>
  </si>
  <si>
    <t>Audit activity</t>
  </si>
  <si>
    <t>Location</t>
  </si>
  <si>
    <t>Principal auditor:</t>
  </si>
  <si>
    <t>Audit Report</t>
  </si>
  <si>
    <t>Organisation audited:</t>
  </si>
  <si>
    <t>Report prepared by:</t>
  </si>
  <si>
    <t>Audit Summary</t>
  </si>
  <si>
    <t>For details, please refer to attached audit findings</t>
  </si>
  <si>
    <t>Your actions will be verified:</t>
  </si>
  <si>
    <t>by you submitting appropriate evidence.</t>
  </si>
  <si>
    <t>Minor nonconformances were identified during this audit and your actions will be verified at your next scheduled audit.</t>
  </si>
  <si>
    <t xml:space="preserve">Please note: This audit was based on a sample of the organisation's management system and processes. Therefore, any audit findings are indicative of performance, however may not be reflected in the organisation's broader operations. It is possible that other nonconformances were present within the organisation at the time of audit, however weren't uncovered due to the sample taken. </t>
  </si>
  <si>
    <t>All information and documentation collected during the audit has be held in the highest confidence.</t>
  </si>
  <si>
    <t>Audit Findings</t>
  </si>
  <si>
    <t>Major nonconformances</t>
  </si>
  <si>
    <t>Minor nonconformances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</si>
</sst>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5" tint="-0.499984740745262"/>
      <name val="Arial"/>
      <family val="2"/>
    </font>
    <font>
      <b/>
      <i/>
      <sz val="16"/>
      <color theme="1"/>
      <name val="Georgia"/>
      <family val="1"/>
    </font>
    <font>
      <sz val="11"/>
      <color theme="1"/>
      <name val="Arial"/>
      <family val="2"/>
    </font>
    <font>
      <b/>
      <sz val="11"/>
      <color theme="1"/>
      <name val="Arial"/>
      <family val="2"/>
    </font>
    <font>
      <i/>
      <sz val="11"/>
      <color theme="1"/>
      <name val="Georgia"/>
      <family val="1"/>
    </font>
    <font>
      <b/>
      <i/>
      <sz val="11"/>
      <color theme="1"/>
      <name val="Calibri"/>
      <family val="2"/>
      <scheme val="minor"/>
    </font>
    <font>
      <sz val="11"/>
      <color rgb="FFFF0000"/>
      <name val="Calibri"/>
      <family val="2"/>
      <scheme val="minor"/>
    </font>
    <font>
      <b/>
      <sz val="11"/>
      <color theme="1"/>
      <name val="Calibri"/>
      <family val="2"/>
      <scheme val="minor"/>
    </font>
    <font>
      <b/>
      <sz val="10"/>
      <color theme="1"/>
      <name val="Arial"/>
      <family val="2"/>
    </font>
    <font>
      <sz val="10"/>
      <color theme="1"/>
      <name val="Arial"/>
      <family val="2"/>
    </font>
    <font>
      <i/>
      <sz val="10"/>
      <color theme="1"/>
      <name val="Arial"/>
      <family val="2"/>
    </font>
    <font>
      <b/>
      <sz val="11"/>
      <color rgb="FFFF0000"/>
      <name val="Calibri"/>
      <family val="2"/>
      <scheme val="minor"/>
    </font>
    <font>
      <b/>
      <sz val="11"/>
      <color theme="0"/>
      <name val="Calibri"/>
      <family val="2"/>
      <scheme val="minor"/>
    </font>
    <font>
      <sz val="11"/>
      <color theme="0"/>
      <name val="Calibri"/>
      <family val="2"/>
      <scheme val="minor"/>
    </font>
    <font>
      <b/>
      <sz val="11"/>
      <color theme="5"/>
      <name val="Calibri"/>
      <family val="2"/>
      <scheme val="minor"/>
    </font>
    <font>
      <b/>
      <i/>
      <sz val="16"/>
      <color theme="1"/>
      <name val="Arial"/>
      <family val="2"/>
    </font>
    <font>
      <b/>
      <i/>
      <sz val="16"/>
      <color theme="5" tint="-0.499984740745262"/>
      <name val="Arial"/>
      <family val="2"/>
    </font>
    <font>
      <b/>
      <i/>
      <sz val="12"/>
      <color theme="1"/>
      <name val="Arial"/>
      <family val="2"/>
    </font>
    <font>
      <b/>
      <i/>
      <sz val="12"/>
      <color theme="5" tint="-0.499984740745262"/>
      <name val="Arial"/>
      <family val="2"/>
    </font>
    <font>
      <b/>
      <i/>
      <sz val="10"/>
      <color theme="1"/>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CCCFF"/>
        <bgColor indexed="64"/>
      </patternFill>
    </fill>
    <fill>
      <patternFill patternType="solid">
        <fgColor rgb="FFFFCCFF"/>
        <bgColor indexed="64"/>
      </patternFill>
    </fill>
    <fill>
      <patternFill patternType="solid">
        <fgColor theme="1"/>
        <bgColor indexed="64"/>
      </patternFill>
    </fill>
    <fill>
      <patternFill patternType="solid">
        <fgColor theme="0"/>
        <bgColor indexed="64"/>
      </patternFill>
    </fill>
  </fills>
  <borders count="32">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1">
    <xf numFmtId="0" fontId="0" fillId="0" borderId="0"/>
  </cellStyleXfs>
  <cellXfs count="180">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12" xfId="0" applyFont="1" applyBorder="1" applyAlignment="1">
      <alignment vertical="center"/>
    </xf>
    <xf numFmtId="14" fontId="4" fillId="0" borderId="12" xfId="0" applyNumberFormat="1" applyFont="1" applyBorder="1" applyAlignment="1">
      <alignment horizontal="left" vertical="center"/>
    </xf>
    <xf numFmtId="0" fontId="3" fillId="0" borderId="2" xfId="0" applyFont="1" applyBorder="1" applyAlignment="1">
      <alignment vertical="center"/>
    </xf>
    <xf numFmtId="0" fontId="3" fillId="0" borderId="2" xfId="0" applyFont="1" applyBorder="1" applyAlignment="1">
      <alignment horizontal="left" vertical="center"/>
    </xf>
    <xf numFmtId="0" fontId="2" fillId="0" borderId="0" xfId="0" applyFont="1" applyAlignment="1">
      <alignment vertical="center"/>
    </xf>
    <xf numFmtId="0" fontId="3" fillId="0" borderId="0" xfId="0" applyFont="1"/>
    <xf numFmtId="0" fontId="3" fillId="0" borderId="0" xfId="0" applyFont="1" applyAlignment="1">
      <alignment wrapText="1"/>
    </xf>
    <xf numFmtId="0" fontId="4" fillId="0" borderId="0" xfId="0" applyFont="1" applyAlignment="1">
      <alignment horizontal="left" vertical="center"/>
    </xf>
    <xf numFmtId="0" fontId="5" fillId="0" borderId="0" xfId="0" applyFont="1" applyAlignment="1">
      <alignment vertical="center" wrapText="1"/>
    </xf>
    <xf numFmtId="0" fontId="6" fillId="4" borderId="4" xfId="0" applyFont="1" applyFill="1" applyBorder="1"/>
    <xf numFmtId="0" fontId="0" fillId="4" borderId="6" xfId="0" applyFill="1" applyBorder="1" applyAlignment="1">
      <alignment wrapText="1"/>
    </xf>
    <xf numFmtId="0" fontId="6" fillId="4" borderId="7" xfId="0" applyFont="1" applyFill="1" applyBorder="1"/>
    <xf numFmtId="0" fontId="0" fillId="4" borderId="8" xfId="0" applyFill="1" applyBorder="1" applyAlignment="1">
      <alignment wrapText="1"/>
    </xf>
    <xf numFmtId="14" fontId="0" fillId="4" borderId="8" xfId="0" quotePrefix="1" applyNumberFormat="1" applyFill="1" applyBorder="1" applyAlignment="1">
      <alignment wrapText="1"/>
    </xf>
    <xf numFmtId="0" fontId="6" fillId="4" borderId="9" xfId="0" applyFont="1" applyFill="1" applyBorder="1"/>
    <xf numFmtId="0" fontId="0" fillId="4" borderId="11" xfId="0" applyFill="1" applyBorder="1" applyAlignment="1">
      <alignment wrapText="1"/>
    </xf>
    <xf numFmtId="0" fontId="6" fillId="8" borderId="4" xfId="0" applyFont="1" applyFill="1" applyBorder="1"/>
    <xf numFmtId="0" fontId="0" fillId="8" borderId="6" xfId="0" applyFill="1" applyBorder="1" applyAlignment="1">
      <alignment wrapText="1"/>
    </xf>
    <xf numFmtId="0" fontId="6" fillId="8" borderId="7" xfId="0" applyFont="1" applyFill="1" applyBorder="1"/>
    <xf numFmtId="0" fontId="0" fillId="8" borderId="8" xfId="0" applyFill="1" applyBorder="1" applyAlignment="1">
      <alignment wrapText="1"/>
    </xf>
    <xf numFmtId="0" fontId="6" fillId="8" borderId="9" xfId="0" applyFont="1" applyFill="1" applyBorder="1"/>
    <xf numFmtId="0" fontId="0" fillId="8" borderId="11" xfId="0" applyFill="1" applyBorder="1" applyAlignment="1">
      <alignment wrapText="1"/>
    </xf>
    <xf numFmtId="0" fontId="6" fillId="9" borderId="4" xfId="0" applyFont="1" applyFill="1" applyBorder="1"/>
    <xf numFmtId="0" fontId="0" fillId="9" borderId="6" xfId="0" applyFill="1" applyBorder="1" applyAlignment="1">
      <alignment wrapText="1"/>
    </xf>
    <xf numFmtId="0" fontId="6" fillId="9" borderId="7" xfId="0" applyFont="1" applyFill="1" applyBorder="1"/>
    <xf numFmtId="0" fontId="0" fillId="9" borderId="8" xfId="0" applyFill="1" applyBorder="1" applyAlignment="1">
      <alignment wrapText="1"/>
    </xf>
    <xf numFmtId="0" fontId="6" fillId="9" borderId="9" xfId="0" applyFont="1" applyFill="1" applyBorder="1"/>
    <xf numFmtId="0" fontId="0" fillId="9" borderId="11" xfId="0" applyFill="1" applyBorder="1" applyAlignment="1">
      <alignment wrapText="1"/>
    </xf>
    <xf numFmtId="0" fontId="0" fillId="3" borderId="15" xfId="0" quotePrefix="1" applyFill="1" applyBorder="1"/>
    <xf numFmtId="0" fontId="0" fillId="3" borderId="16" xfId="0" quotePrefix="1" applyFill="1" applyBorder="1"/>
    <xf numFmtId="0" fontId="9" fillId="0" borderId="2" xfId="0" applyFont="1" applyBorder="1" applyAlignment="1">
      <alignment vertical="center"/>
    </xf>
    <xf numFmtId="0" fontId="10" fillId="0" borderId="2" xfId="0" applyFont="1" applyBorder="1" applyAlignment="1">
      <alignment horizontal="left" vertical="center" wrapText="1"/>
    </xf>
    <xf numFmtId="0" fontId="10" fillId="0" borderId="2" xfId="0" applyFont="1" applyBorder="1" applyAlignment="1">
      <alignment vertical="center"/>
    </xf>
    <xf numFmtId="0" fontId="10" fillId="0" borderId="8" xfId="0" applyFont="1" applyBorder="1" applyAlignment="1">
      <alignment horizontal="left" vertical="center"/>
    </xf>
    <xf numFmtId="0" fontId="10" fillId="0" borderId="9" xfId="0" applyFont="1" applyBorder="1" applyAlignment="1">
      <alignment vertical="center"/>
    </xf>
    <xf numFmtId="0" fontId="10" fillId="0" borderId="0" xfId="0" applyFont="1" applyAlignment="1">
      <alignment vertical="center"/>
    </xf>
    <xf numFmtId="0" fontId="10" fillId="0" borderId="0" xfId="0" applyFont="1" applyAlignment="1">
      <alignment wrapText="1"/>
    </xf>
    <xf numFmtId="0" fontId="10" fillId="0" borderId="0" xfId="0" applyFont="1"/>
    <xf numFmtId="0" fontId="9" fillId="0" borderId="0" xfId="0" applyFont="1" applyAlignment="1">
      <alignment horizontal="left" vertical="center"/>
    </xf>
    <xf numFmtId="0" fontId="9" fillId="0" borderId="2" xfId="0" applyFont="1" applyBorder="1" applyAlignment="1">
      <alignment horizontal="left" vertical="center"/>
    </xf>
    <xf numFmtId="0" fontId="10" fillId="0" borderId="0" xfId="0" applyFont="1" applyAlignment="1">
      <alignment vertical="center" wrapText="1"/>
    </xf>
    <xf numFmtId="14" fontId="10" fillId="0" borderId="0" xfId="0" applyNumberFormat="1"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9" fillId="0" borderId="4" xfId="0" applyFont="1" applyBorder="1" applyAlignment="1">
      <alignment horizontal="left" vertical="center"/>
    </xf>
    <xf numFmtId="0" fontId="9" fillId="0" borderId="5" xfId="0" applyFont="1" applyBorder="1" applyAlignment="1">
      <alignment horizontal="left" vertical="center"/>
    </xf>
    <xf numFmtId="18" fontId="9" fillId="0" borderId="9" xfId="0" applyNumberFormat="1" applyFont="1" applyBorder="1" applyAlignment="1">
      <alignment horizontal="left" vertical="center"/>
    </xf>
    <xf numFmtId="0" fontId="9" fillId="2" borderId="10" xfId="0" applyFont="1" applyFill="1" applyBorder="1" applyAlignment="1">
      <alignment horizontal="left" vertical="center"/>
    </xf>
    <xf numFmtId="0" fontId="9" fillId="0" borderId="10" xfId="0" applyFont="1" applyBorder="1" applyAlignment="1">
      <alignment horizontal="left" vertical="center"/>
    </xf>
    <xf numFmtId="0" fontId="9" fillId="2" borderId="11" xfId="0" applyFont="1" applyFill="1" applyBorder="1" applyAlignment="1">
      <alignment horizontal="left" vertical="center"/>
    </xf>
    <xf numFmtId="20" fontId="10" fillId="0" borderId="15" xfId="0" applyNumberFormat="1" applyFont="1" applyBorder="1" applyAlignment="1">
      <alignment horizontal="left" vertical="center"/>
    </xf>
    <xf numFmtId="0" fontId="10" fillId="0" borderId="18" xfId="0" applyFont="1" applyBorder="1" applyAlignment="1">
      <alignment horizontal="left" vertical="center"/>
    </xf>
    <xf numFmtId="0" fontId="10" fillId="2" borderId="19" xfId="0" applyFont="1" applyFill="1" applyBorder="1" applyAlignment="1">
      <alignment horizontal="left" vertical="center"/>
    </xf>
    <xf numFmtId="0" fontId="10" fillId="0" borderId="19" xfId="0" applyFont="1" applyBorder="1" applyAlignment="1">
      <alignment horizontal="left" vertical="center"/>
    </xf>
    <xf numFmtId="0" fontId="10" fillId="2" borderId="20" xfId="0" applyFont="1" applyFill="1" applyBorder="1" applyAlignment="1">
      <alignment horizontal="left" vertical="center"/>
    </xf>
    <xf numFmtId="20" fontId="10" fillId="0" borderId="16" xfId="0" applyNumberFormat="1" applyFont="1" applyBorder="1" applyAlignment="1">
      <alignment horizontal="left" vertical="center"/>
    </xf>
    <xf numFmtId="0" fontId="10" fillId="0" borderId="13" xfId="0" applyFont="1" applyBorder="1" applyAlignment="1">
      <alignment horizontal="left" vertical="center"/>
    </xf>
    <xf numFmtId="0" fontId="10" fillId="2" borderId="3" xfId="0" applyFont="1" applyFill="1" applyBorder="1" applyAlignment="1">
      <alignment horizontal="left" vertical="center"/>
    </xf>
    <xf numFmtId="0" fontId="10" fillId="0" borderId="3" xfId="0" applyFont="1" applyBorder="1" applyAlignment="1">
      <alignment horizontal="left" vertical="center"/>
    </xf>
    <xf numFmtId="0" fontId="10" fillId="2" borderId="8" xfId="0" applyFont="1" applyFill="1" applyBorder="1" applyAlignment="1">
      <alignment horizontal="left" vertical="center"/>
    </xf>
    <xf numFmtId="20" fontId="10" fillId="0" borderId="17" xfId="0" applyNumberFormat="1" applyFont="1" applyBorder="1" applyAlignment="1">
      <alignment horizontal="left" vertical="center"/>
    </xf>
    <xf numFmtId="0" fontId="10" fillId="0" borderId="14" xfId="0" applyFont="1" applyBorder="1" applyAlignment="1">
      <alignment horizontal="left" vertical="center"/>
    </xf>
    <xf numFmtId="0" fontId="10" fillId="2" borderId="10" xfId="0" applyFont="1" applyFill="1" applyBorder="1" applyAlignment="1">
      <alignment horizontal="left" vertical="center"/>
    </xf>
    <xf numFmtId="0" fontId="10" fillId="0" borderId="10" xfId="0" applyFont="1" applyBorder="1" applyAlignment="1">
      <alignment horizontal="left" vertical="center"/>
    </xf>
    <xf numFmtId="0" fontId="10" fillId="2" borderId="11" xfId="0" applyFont="1" applyFill="1" applyBorder="1" applyAlignment="1">
      <alignment horizontal="left" vertical="center"/>
    </xf>
    <xf numFmtId="0" fontId="10" fillId="0" borderId="6" xfId="0" applyFont="1" applyBorder="1" applyAlignment="1">
      <alignment horizontal="left" vertical="center" wrapText="1"/>
    </xf>
    <xf numFmtId="0" fontId="10" fillId="0" borderId="3" xfId="0" applyFont="1" applyBorder="1" applyAlignment="1">
      <alignment horizontal="left" vertical="center" wrapText="1"/>
    </xf>
    <xf numFmtId="0" fontId="10" fillId="0" borderId="8" xfId="0" applyFont="1" applyBorder="1" applyAlignment="1">
      <alignment horizontal="left" vertical="center" wrapText="1"/>
    </xf>
    <xf numFmtId="0" fontId="10" fillId="0" borderId="11" xfId="0" applyFont="1" applyBorder="1" applyAlignment="1">
      <alignment horizontal="left" vertical="center" wrapText="1"/>
    </xf>
    <xf numFmtId="0" fontId="10" fillId="0" borderId="0" xfId="0" applyFont="1" applyAlignment="1">
      <alignment vertical="top" wrapText="1"/>
    </xf>
    <xf numFmtId="0" fontId="0" fillId="3" borderId="22" xfId="0" quotePrefix="1" applyFill="1" applyBorder="1"/>
    <xf numFmtId="0" fontId="9" fillId="0" borderId="0" xfId="0" applyFont="1" applyAlignment="1">
      <alignment horizontal="right"/>
    </xf>
    <xf numFmtId="0" fontId="6" fillId="11" borderId="0" xfId="0" applyFont="1" applyFill="1"/>
    <xf numFmtId="0" fontId="12" fillId="11" borderId="0" xfId="0" applyFont="1" applyFill="1" applyAlignment="1">
      <alignment wrapText="1"/>
    </xf>
    <xf numFmtId="0" fontId="0" fillId="11" borderId="0" xfId="0" applyFill="1"/>
    <xf numFmtId="0" fontId="8" fillId="11" borderId="0" xfId="0" applyFont="1" applyFill="1"/>
    <xf numFmtId="0" fontId="0" fillId="11" borderId="0" xfId="0" applyFill="1" applyAlignment="1">
      <alignment wrapText="1"/>
    </xf>
    <xf numFmtId="0" fontId="7" fillId="11" borderId="0" xfId="0" applyFont="1" applyFill="1"/>
    <xf numFmtId="0" fontId="7" fillId="11" borderId="0" xfId="0" applyFont="1" applyFill="1" applyAlignment="1">
      <alignment wrapText="1"/>
    </xf>
    <xf numFmtId="14" fontId="7" fillId="11" borderId="0" xfId="0" quotePrefix="1" applyNumberFormat="1" applyFont="1" applyFill="1" applyAlignment="1">
      <alignment wrapText="1"/>
    </xf>
    <xf numFmtId="0" fontId="7" fillId="11" borderId="0" xfId="0" applyFont="1" applyFill="1" applyAlignment="1">
      <alignment horizontal="right"/>
    </xf>
    <xf numFmtId="0" fontId="7" fillId="11" borderId="0" xfId="0" quotePrefix="1" applyFont="1" applyFill="1" applyAlignment="1">
      <alignment horizontal="right"/>
    </xf>
    <xf numFmtId="0" fontId="0" fillId="11" borderId="0" xfId="0" quotePrefix="1" applyFill="1"/>
    <xf numFmtId="0" fontId="7" fillId="11" borderId="0" xfId="0" quotePrefix="1" applyFont="1" applyFill="1" applyAlignment="1">
      <alignment wrapText="1"/>
    </xf>
    <xf numFmtId="0" fontId="0" fillId="3" borderId="17" xfId="0" quotePrefix="1" applyFill="1" applyBorder="1"/>
    <xf numFmtId="0" fontId="12" fillId="11" borderId="0" xfId="0" applyFont="1" applyFill="1" applyAlignment="1">
      <alignment horizontal="left" wrapText="1"/>
    </xf>
    <xf numFmtId="0" fontId="0" fillId="11" borderId="0" xfId="0" applyFill="1" applyAlignment="1">
      <alignment horizontal="left"/>
    </xf>
    <xf numFmtId="0" fontId="8" fillId="11" borderId="0" xfId="0" applyFont="1" applyFill="1" applyAlignment="1">
      <alignment horizontal="left"/>
    </xf>
    <xf numFmtId="0" fontId="0" fillId="5" borderId="6" xfId="0" applyFill="1" applyBorder="1"/>
    <xf numFmtId="0" fontId="0" fillId="5" borderId="8" xfId="0" applyFill="1" applyBorder="1"/>
    <xf numFmtId="49" fontId="0" fillId="5" borderId="4" xfId="0" applyNumberFormat="1" applyFill="1" applyBorder="1"/>
    <xf numFmtId="49" fontId="0" fillId="5" borderId="7" xfId="0" applyNumberFormat="1" applyFill="1" applyBorder="1"/>
    <xf numFmtId="0" fontId="10" fillId="0" borderId="0" xfId="0" applyFont="1" applyAlignment="1">
      <alignment horizontal="left" vertical="center" wrapText="1"/>
    </xf>
    <xf numFmtId="0" fontId="9" fillId="0" borderId="0" xfId="0" applyFont="1" applyAlignment="1">
      <alignment vertical="center"/>
    </xf>
    <xf numFmtId="0" fontId="10" fillId="0" borderId="0" xfId="0" applyFont="1" applyAlignment="1">
      <alignment horizontal="left" vertical="center"/>
    </xf>
    <xf numFmtId="0" fontId="10" fillId="0" borderId="2" xfId="0" applyFont="1" applyBorder="1" applyAlignment="1">
      <alignment horizontal="left"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17" fillId="0" borderId="0" xfId="0" applyFont="1" applyAlignment="1">
      <alignment vertical="center"/>
    </xf>
    <xf numFmtId="0" fontId="19" fillId="0" borderId="0" xfId="0" applyFont="1" applyAlignment="1">
      <alignment vertical="center"/>
    </xf>
    <xf numFmtId="0" fontId="16" fillId="0" borderId="0" xfId="0" applyFont="1" applyAlignment="1">
      <alignment vertical="center"/>
    </xf>
    <xf numFmtId="0" fontId="18" fillId="0" borderId="0" xfId="0" applyFont="1"/>
    <xf numFmtId="0" fontId="16" fillId="0" borderId="0" xfId="0" applyFont="1" applyAlignment="1">
      <alignment horizontal="left"/>
    </xf>
    <xf numFmtId="0" fontId="20" fillId="0" borderId="0" xfId="0" applyFont="1" applyAlignment="1">
      <alignment horizontal="left"/>
    </xf>
    <xf numFmtId="0" fontId="16" fillId="0" borderId="0" xfId="0" applyFont="1" applyAlignment="1">
      <alignment horizontal="left" vertical="center"/>
    </xf>
    <xf numFmtId="0" fontId="20" fillId="0" borderId="0" xfId="0" applyFont="1" applyAlignment="1">
      <alignment horizontal="left" vertical="center"/>
    </xf>
    <xf numFmtId="0" fontId="18" fillId="0" borderId="0" xfId="0" applyFont="1" applyAlignment="1">
      <alignment vertical="center"/>
    </xf>
    <xf numFmtId="0" fontId="11" fillId="0" borderId="0" xfId="0" applyFont="1" applyAlignment="1">
      <alignment horizontal="left" vertical="top" wrapText="1"/>
    </xf>
    <xf numFmtId="0" fontId="10" fillId="0" borderId="0" xfId="0" applyFont="1" applyAlignment="1">
      <alignment horizontal="left" vertical="top" wrapText="1"/>
    </xf>
    <xf numFmtId="0" fontId="16" fillId="0" borderId="0" xfId="0" applyFont="1" applyAlignment="1">
      <alignment vertical="center" wrapText="1"/>
    </xf>
    <xf numFmtId="0" fontId="18" fillId="0" borderId="0" xfId="0" applyFont="1" applyAlignment="1">
      <alignment wrapText="1"/>
    </xf>
    <xf numFmtId="0" fontId="20" fillId="0" borderId="0" xfId="0" applyFont="1" applyAlignment="1">
      <alignment wrapText="1"/>
    </xf>
    <xf numFmtId="0" fontId="0" fillId="6" borderId="7" xfId="0" applyFill="1" applyBorder="1" applyAlignment="1">
      <alignment horizontal="left"/>
    </xf>
    <xf numFmtId="0" fontId="0" fillId="6" borderId="8" xfId="0" applyFill="1" applyBorder="1" applyAlignment="1">
      <alignment horizontal="left"/>
    </xf>
    <xf numFmtId="0" fontId="0" fillId="6" borderId="9" xfId="0" applyFill="1" applyBorder="1" applyAlignment="1">
      <alignment horizontal="left"/>
    </xf>
    <xf numFmtId="0" fontId="0" fillId="6" borderId="11" xfId="0" applyFill="1" applyBorder="1" applyAlignment="1">
      <alignment horizontal="left"/>
    </xf>
    <xf numFmtId="0" fontId="14" fillId="10" borderId="24" xfId="0" applyFont="1" applyFill="1" applyBorder="1" applyAlignment="1">
      <alignment horizontal="center" wrapText="1"/>
    </xf>
    <xf numFmtId="0" fontId="14" fillId="10" borderId="25" xfId="0" applyFont="1" applyFill="1" applyBorder="1" applyAlignment="1">
      <alignment horizontal="center"/>
    </xf>
    <xf numFmtId="0" fontId="14" fillId="10" borderId="26" xfId="0" applyFont="1" applyFill="1" applyBorder="1" applyAlignment="1">
      <alignment horizontal="center"/>
    </xf>
    <xf numFmtId="0" fontId="14" fillId="10" borderId="23" xfId="0" applyFont="1" applyFill="1" applyBorder="1" applyAlignment="1">
      <alignment horizontal="center"/>
    </xf>
    <xf numFmtId="0" fontId="14" fillId="10" borderId="0" xfId="0" applyFont="1" applyFill="1" applyAlignment="1">
      <alignment horizontal="center"/>
    </xf>
    <xf numFmtId="0" fontId="14" fillId="10" borderId="27" xfId="0" applyFont="1" applyFill="1" applyBorder="1" applyAlignment="1">
      <alignment horizontal="center"/>
    </xf>
    <xf numFmtId="0" fontId="14" fillId="10" borderId="28" xfId="0" applyFont="1" applyFill="1" applyBorder="1" applyAlignment="1">
      <alignment horizontal="center"/>
    </xf>
    <xf numFmtId="0" fontId="14" fillId="10" borderId="29" xfId="0" applyFont="1" applyFill="1" applyBorder="1" applyAlignment="1">
      <alignment horizontal="center"/>
    </xf>
    <xf numFmtId="0" fontId="14" fillId="10" borderId="30" xfId="0" applyFont="1" applyFill="1" applyBorder="1" applyAlignment="1">
      <alignment horizontal="center"/>
    </xf>
    <xf numFmtId="0" fontId="0" fillId="7" borderId="7" xfId="0" applyFill="1" applyBorder="1" applyAlignment="1">
      <alignment horizontal="left"/>
    </xf>
    <xf numFmtId="0" fontId="0" fillId="7" borderId="8" xfId="0" applyFill="1" applyBorder="1" applyAlignment="1">
      <alignment horizontal="left"/>
    </xf>
    <xf numFmtId="0" fontId="0" fillId="7" borderId="9" xfId="0" applyFill="1" applyBorder="1" applyAlignment="1">
      <alignment horizontal="left"/>
    </xf>
    <xf numFmtId="0" fontId="0" fillId="7" borderId="11" xfId="0" applyFill="1" applyBorder="1" applyAlignment="1">
      <alignment horizontal="left"/>
    </xf>
    <xf numFmtId="0" fontId="0" fillId="6" borderId="4" xfId="0" applyFill="1" applyBorder="1" applyAlignment="1">
      <alignment horizontal="left"/>
    </xf>
    <xf numFmtId="0" fontId="0" fillId="6" borderId="6" xfId="0" applyFill="1" applyBorder="1" applyAlignment="1">
      <alignment horizontal="left"/>
    </xf>
    <xf numFmtId="0" fontId="0" fillId="5" borderId="9" xfId="0" applyFill="1" applyBorder="1" applyAlignment="1">
      <alignment horizontal="left"/>
    </xf>
    <xf numFmtId="0" fontId="0" fillId="5" borderId="11" xfId="0" applyFill="1" applyBorder="1" applyAlignment="1">
      <alignment horizontal="left"/>
    </xf>
    <xf numFmtId="0" fontId="0" fillId="7" borderId="4" xfId="0" applyFill="1" applyBorder="1" applyAlignment="1">
      <alignment horizontal="left"/>
    </xf>
    <xf numFmtId="0" fontId="0" fillId="7" borderId="6" xfId="0" applyFill="1" applyBorder="1" applyAlignment="1">
      <alignment horizontal="left"/>
    </xf>
    <xf numFmtId="0" fontId="16" fillId="0" borderId="0" xfId="0" applyFont="1" applyAlignment="1">
      <alignment horizontal="left" vertical="center"/>
    </xf>
    <xf numFmtId="0" fontId="10" fillId="0" borderId="0" xfId="0" applyFont="1" applyAlignment="1">
      <alignment horizontal="left" vertical="center" wrapText="1"/>
    </xf>
    <xf numFmtId="0" fontId="10" fillId="0" borderId="2" xfId="0" applyFont="1" applyBorder="1" applyAlignment="1">
      <alignment horizontal="lef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vertical="center" wrapText="1"/>
    </xf>
    <xf numFmtId="0" fontId="10" fillId="0" borderId="5" xfId="0" applyFont="1" applyBorder="1" applyAlignment="1">
      <alignment vertical="center" wrapText="1"/>
    </xf>
    <xf numFmtId="0" fontId="10" fillId="0" borderId="7" xfId="0" applyFont="1" applyBorder="1" applyAlignment="1">
      <alignment vertical="center" wrapText="1"/>
    </xf>
    <xf numFmtId="0" fontId="10" fillId="0" borderId="3" xfId="0" applyFont="1" applyBorder="1" applyAlignment="1">
      <alignment vertical="center" wrapText="1"/>
    </xf>
    <xf numFmtId="0" fontId="10" fillId="0" borderId="2" xfId="0" quotePrefix="1" applyFont="1" applyBorder="1" applyAlignment="1">
      <alignment horizontal="left" vertical="top"/>
    </xf>
    <xf numFmtId="0" fontId="10" fillId="0" borderId="2" xfId="0" applyFont="1" applyBorder="1" applyAlignment="1">
      <alignment horizontal="left" vertical="top"/>
    </xf>
    <xf numFmtId="0" fontId="9" fillId="0" borderId="0" xfId="0" applyFont="1" applyAlignment="1">
      <alignment vertical="center"/>
    </xf>
    <xf numFmtId="14" fontId="9" fillId="0" borderId="10" xfId="0" applyNumberFormat="1" applyFont="1" applyBorder="1" applyAlignment="1">
      <alignment horizontal="left" vertical="center"/>
    </xf>
    <xf numFmtId="14" fontId="9" fillId="0" borderId="11" xfId="0" applyNumberFormat="1" applyFont="1" applyBorder="1" applyAlignment="1">
      <alignment horizontal="left" vertical="center"/>
    </xf>
    <xf numFmtId="0" fontId="18" fillId="0" borderId="0" xfId="0" applyFont="1" applyAlignment="1">
      <alignment horizontal="left" vertical="center"/>
    </xf>
    <xf numFmtId="0" fontId="11" fillId="0" borderId="0" xfId="0" applyFont="1" applyAlignment="1">
      <alignment horizontal="left" vertical="center" wrapText="1"/>
    </xf>
    <xf numFmtId="0" fontId="10" fillId="0" borderId="2" xfId="0" applyFont="1" applyBorder="1" applyAlignment="1">
      <alignment horizontal="left" vertical="top" wrapText="1"/>
    </xf>
    <xf numFmtId="0" fontId="11"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center"/>
    </xf>
    <xf numFmtId="14" fontId="10" fillId="0" borderId="1" xfId="0" applyNumberFormat="1" applyFont="1" applyBorder="1" applyAlignment="1">
      <alignment horizontal="left" vertical="center"/>
    </xf>
    <xf numFmtId="0" fontId="10" fillId="0" borderId="31" xfId="0" applyFont="1" applyBorder="1" applyAlignment="1">
      <alignment horizontal="left" vertical="center"/>
    </xf>
    <xf numFmtId="0" fontId="10" fillId="0" borderId="7" xfId="0" applyFont="1" applyBorder="1" applyAlignment="1">
      <alignment horizontal="center" vertical="center"/>
    </xf>
    <xf numFmtId="0" fontId="10" fillId="0" borderId="3"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18" fontId="9" fillId="0" borderId="9" xfId="0" applyNumberFormat="1" applyFont="1" applyBorder="1" applyAlignment="1">
      <alignment horizontal="center" vertical="center"/>
    </xf>
    <xf numFmtId="18" fontId="9" fillId="0" borderId="10" xfId="0" applyNumberFormat="1" applyFont="1" applyBorder="1" applyAlignment="1">
      <alignment horizontal="center" vertical="center"/>
    </xf>
    <xf numFmtId="0" fontId="10" fillId="0" borderId="21" xfId="0" applyFont="1" applyBorder="1" applyAlignment="1">
      <alignment horizontal="center" vertical="center"/>
    </xf>
    <xf numFmtId="0" fontId="10" fillId="0" borderId="19" xfId="0" applyFont="1" applyBorder="1" applyAlignment="1">
      <alignment horizontal="center" vertical="center"/>
    </xf>
    <xf numFmtId="0" fontId="10" fillId="0" borderId="7" xfId="0" applyFont="1" applyBorder="1" applyAlignment="1">
      <alignment horizontal="left" vertical="center"/>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14" fontId="10" fillId="0" borderId="2" xfId="0" applyNumberFormat="1" applyFont="1" applyBorder="1" applyAlignment="1">
      <alignment horizontal="left" vertical="center"/>
    </xf>
    <xf numFmtId="0" fontId="10" fillId="0" borderId="4" xfId="0" applyFont="1" applyBorder="1" applyAlignment="1">
      <alignment horizontal="left" vertical="center" wrapText="1"/>
    </xf>
    <xf numFmtId="0" fontId="9" fillId="0" borderId="5" xfId="0" applyFont="1" applyBorder="1" applyAlignment="1">
      <alignment horizontal="left" vertical="center" wrapText="1"/>
    </xf>
    <xf numFmtId="0" fontId="11" fillId="0" borderId="0" xfId="0" applyFont="1" applyAlignment="1">
      <alignment horizontal="right" vertical="center" wrapText="1"/>
    </xf>
  </cellXfs>
  <cellStyles count="1">
    <cellStyle name="Normal" xfId="0" builtinId="0"/>
  </cellStyles>
  <dxfs count="163">
    <dxf>
      <fill>
        <patternFill>
          <bgColor rgb="FFFF0000"/>
        </patternFill>
      </fill>
    </dxf>
    <dxf>
      <fill>
        <patternFill>
          <bgColor rgb="FFFF0000"/>
        </patternFill>
      </fill>
    </dxf>
    <dxf>
      <fill>
        <patternFill>
          <bgColor rgb="FFFF0000"/>
        </patternFill>
      </fill>
    </dxf>
    <dxf>
      <fill>
        <patternFill>
          <bgColor theme="5"/>
        </patternFill>
      </fill>
    </dxf>
    <dxf>
      <fill>
        <patternFill>
          <bgColor theme="5"/>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5"/>
        </patternFill>
      </fill>
    </dxf>
    <dxf>
      <font>
        <color theme="0"/>
      </font>
      <fill>
        <patternFill>
          <bgColor theme="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rgb="FFFF0000"/>
        </patternFill>
      </fill>
    </dxf>
    <dxf>
      <font>
        <b/>
        <i val="0"/>
      </font>
      <fill>
        <patternFill>
          <bgColor rgb="FFFF0000"/>
        </patternFill>
      </fill>
    </dxf>
    <dxf>
      <fill>
        <patternFill>
          <bgColor rgb="FFFF0000"/>
        </patternFill>
      </fill>
    </dxf>
    <dxf>
      <fill>
        <patternFill>
          <bgColor theme="5"/>
        </patternFill>
      </fill>
    </dxf>
    <dxf>
      <fill>
        <patternFill>
          <bgColor rgb="FFFF0000"/>
        </patternFill>
      </fill>
    </dxf>
    <dxf>
      <fill>
        <patternFill>
          <bgColor rgb="FFFF0000"/>
        </patternFill>
      </fill>
    </dxf>
    <dxf>
      <fill>
        <patternFill>
          <bgColor rgb="FFFF0000"/>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s>
  <tableStyles count="0" defaultTableStyle="TableStyleMedium2" defaultPivotStyle="PivotStyleLight16"/>
  <colors>
    <mruColors>
      <color rgb="FFFFCCFF"/>
      <color rgb="FFCCCCFF"/>
      <color rgb="FFFDECE3"/>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selection activeCell="I48" sqref="I48"/>
    </sheetView>
  </sheetViews>
  <sheetFormatPr defaultRowHeight="14.45"/>
  <cols>
    <col min="1" max="1" width="28.85546875" style="78" bestFit="1" customWidth="1"/>
    <col min="2" max="2" width="33.140625" style="82" customWidth="1"/>
    <col min="3" max="3" width="2.7109375" style="82" bestFit="1" customWidth="1"/>
    <col min="4" max="4" width="22.28515625" style="80" customWidth="1"/>
    <col min="5" max="5" width="10.28515625" style="80" customWidth="1"/>
    <col min="6" max="6" width="22.28515625" style="80" customWidth="1"/>
    <col min="7" max="7" width="2.7109375" style="80" bestFit="1" customWidth="1"/>
    <col min="8" max="8" width="8.7109375" style="92" customWidth="1"/>
    <col min="9" max="9" width="128" style="92" customWidth="1"/>
    <col min="10" max="34" width="8.85546875" style="80"/>
  </cols>
  <sheetData>
    <row r="1" spans="1:20" ht="15" thickBot="1">
      <c r="A1" s="81" t="s">
        <v>0</v>
      </c>
      <c r="B1" s="79" t="s">
        <v>1</v>
      </c>
      <c r="D1" s="81" t="s">
        <v>2</v>
      </c>
      <c r="E1" s="81"/>
      <c r="F1" s="81"/>
      <c r="G1" s="81"/>
      <c r="H1" s="93" t="s">
        <v>3</v>
      </c>
      <c r="I1" s="91" t="s">
        <v>4</v>
      </c>
      <c r="T1" s="81" t="s">
        <v>5</v>
      </c>
    </row>
    <row r="2" spans="1:20">
      <c r="A2" s="15" t="s">
        <v>6</v>
      </c>
      <c r="B2" s="16" t="s">
        <v>7</v>
      </c>
      <c r="E2" s="83"/>
      <c r="F2" s="83"/>
      <c r="G2" s="83"/>
      <c r="H2" s="96" t="s">
        <v>8</v>
      </c>
      <c r="I2" s="94"/>
      <c r="T2" s="34" t="s">
        <v>9</v>
      </c>
    </row>
    <row r="3" spans="1:20" ht="15" thickBot="1">
      <c r="A3" s="17" t="s">
        <v>10</v>
      </c>
      <c r="B3" s="18" t="s">
        <v>11</v>
      </c>
      <c r="C3" s="84" t="s">
        <v>12</v>
      </c>
      <c r="D3" s="83" t="s">
        <v>13</v>
      </c>
      <c r="E3" s="83"/>
      <c r="F3" s="83"/>
      <c r="G3" s="83"/>
      <c r="H3" s="97" t="s">
        <v>14</v>
      </c>
      <c r="I3" s="95"/>
      <c r="T3" s="35" t="s">
        <v>9</v>
      </c>
    </row>
    <row r="4" spans="1:20" ht="15" thickBot="1">
      <c r="A4" s="17" t="s">
        <v>15</v>
      </c>
      <c r="B4" s="19" t="s">
        <v>16</v>
      </c>
      <c r="C4" s="85"/>
      <c r="D4" s="122" t="s">
        <v>17</v>
      </c>
      <c r="E4" s="123"/>
      <c r="F4" s="124"/>
      <c r="G4" s="83"/>
      <c r="H4" s="137" t="s">
        <v>18</v>
      </c>
      <c r="I4" s="138"/>
      <c r="T4" s="35" t="s">
        <v>9</v>
      </c>
    </row>
    <row r="5" spans="1:20">
      <c r="A5" s="17" t="s">
        <v>19</v>
      </c>
      <c r="B5" s="19" t="e">
        <f>B4+(B3-1)</f>
        <v>#VALUE!</v>
      </c>
      <c r="C5" s="85"/>
      <c r="D5" s="125"/>
      <c r="E5" s="126"/>
      <c r="F5" s="127"/>
      <c r="G5" s="83"/>
      <c r="T5" s="76" t="s">
        <v>20</v>
      </c>
    </row>
    <row r="6" spans="1:20" ht="15" thickBot="1">
      <c r="A6" s="17" t="s">
        <v>21</v>
      </c>
      <c r="B6" s="18" t="s">
        <v>22</v>
      </c>
      <c r="C6" s="84"/>
      <c r="D6" s="125"/>
      <c r="E6" s="126"/>
      <c r="F6" s="127"/>
      <c r="G6" s="83"/>
      <c r="H6" s="93" t="s">
        <v>23</v>
      </c>
      <c r="T6" s="90" t="s">
        <v>24</v>
      </c>
    </row>
    <row r="7" spans="1:20" ht="15" thickBot="1">
      <c r="A7" s="17" t="s">
        <v>25</v>
      </c>
      <c r="B7" s="18" t="s">
        <v>26</v>
      </c>
      <c r="C7" s="84"/>
      <c r="D7" s="128"/>
      <c r="E7" s="129"/>
      <c r="F7" s="130"/>
      <c r="G7" s="83"/>
      <c r="H7" s="139" t="s">
        <v>27</v>
      </c>
      <c r="I7" s="140"/>
      <c r="T7" s="88"/>
    </row>
    <row r="8" spans="1:20">
      <c r="A8" s="17" t="s">
        <v>28</v>
      </c>
      <c r="B8" s="18" t="s">
        <v>29</v>
      </c>
      <c r="C8" s="84"/>
      <c r="E8" s="86"/>
      <c r="F8" s="86" t="s">
        <v>30</v>
      </c>
      <c r="G8" s="87" t="s">
        <v>31</v>
      </c>
      <c r="H8" s="131" t="str">
        <f>CONCATENATE(J8,$B$2,K8)</f>
        <v>Based on information reviewed during the document review, the following items are deemed as being of critical significance within &lt;&lt;Auditee&gt;&gt;'s management system:</v>
      </c>
      <c r="I8" s="132"/>
      <c r="J8" s="80" t="s">
        <v>32</v>
      </c>
      <c r="K8" s="88" t="s">
        <v>33</v>
      </c>
    </row>
    <row r="9" spans="1:20">
      <c r="A9" s="17" t="s">
        <v>34</v>
      </c>
      <c r="B9" s="18" t="s">
        <v>35</v>
      </c>
      <c r="C9" s="84" t="s">
        <v>12</v>
      </c>
      <c r="D9" s="83" t="s">
        <v>36</v>
      </c>
      <c r="E9" s="83"/>
      <c r="F9" s="83"/>
      <c r="G9" s="83"/>
      <c r="H9" s="131" t="s">
        <v>37</v>
      </c>
      <c r="I9" s="132"/>
    </row>
    <row r="10" spans="1:20">
      <c r="A10" s="17" t="s">
        <v>38</v>
      </c>
      <c r="B10" s="18" t="s">
        <v>39</v>
      </c>
      <c r="C10" s="84"/>
      <c r="E10" s="86"/>
      <c r="F10" s="86" t="s">
        <v>40</v>
      </c>
      <c r="G10" s="87" t="s">
        <v>31</v>
      </c>
      <c r="H10" s="131" t="str">
        <f>CONCATENATE(J10,$B$2,K10)</f>
        <v>Based on information reviewed during the document review, it is not clear how &lt;&lt;Auditee&gt;&gt; define or control the following:</v>
      </c>
      <c r="I10" s="132"/>
      <c r="J10" s="80" t="s">
        <v>41</v>
      </c>
      <c r="K10" s="80" t="s">
        <v>42</v>
      </c>
    </row>
    <row r="11" spans="1:20">
      <c r="A11" s="17" t="s">
        <v>43</v>
      </c>
      <c r="B11" s="18" t="s">
        <v>44</v>
      </c>
      <c r="C11" s="84"/>
      <c r="D11" s="83"/>
      <c r="E11" s="83"/>
      <c r="F11" s="83"/>
      <c r="G11" s="83"/>
      <c r="H11" s="131" t="s">
        <v>45</v>
      </c>
      <c r="I11" s="132"/>
    </row>
    <row r="12" spans="1:20">
      <c r="A12" s="17" t="s">
        <v>46</v>
      </c>
      <c r="B12" s="18" t="s">
        <v>47</v>
      </c>
      <c r="C12" s="84"/>
      <c r="D12" s="83"/>
      <c r="E12" s="83"/>
      <c r="F12" s="83"/>
      <c r="G12" s="83"/>
      <c r="H12" s="131" t="s">
        <v>48</v>
      </c>
      <c r="I12" s="132"/>
    </row>
    <row r="13" spans="1:20">
      <c r="A13" s="17" t="s">
        <v>49</v>
      </c>
      <c r="B13" s="18" t="s">
        <v>50</v>
      </c>
      <c r="C13" s="84"/>
      <c r="E13" s="86"/>
      <c r="F13" s="86" t="s">
        <v>51</v>
      </c>
      <c r="G13" s="87" t="s">
        <v>31</v>
      </c>
      <c r="H13" s="131" t="str">
        <f>CONCATENATE(J13,$B$2,K13)</f>
        <v>In order to prevent potential future nonconformaces, it may be of benefit for &lt;&lt;Auditee&gt;&gt; to consider the following:</v>
      </c>
      <c r="I13" s="132"/>
      <c r="J13" s="80" t="s">
        <v>52</v>
      </c>
      <c r="K13" s="80" t="s">
        <v>53</v>
      </c>
    </row>
    <row r="14" spans="1:20">
      <c r="A14" s="17" t="s">
        <v>54</v>
      </c>
      <c r="B14" s="18" t="s">
        <v>55</v>
      </c>
      <c r="C14" s="84"/>
      <c r="D14" s="83"/>
      <c r="E14" s="83"/>
      <c r="F14" s="83"/>
      <c r="G14" s="83"/>
      <c r="H14" s="131" t="s">
        <v>56</v>
      </c>
      <c r="I14" s="132"/>
    </row>
    <row r="15" spans="1:20" ht="57.95">
      <c r="A15" s="17" t="s">
        <v>57</v>
      </c>
      <c r="B15" s="18" t="s">
        <v>58</v>
      </c>
      <c r="C15" s="84"/>
      <c r="E15" s="86"/>
      <c r="F15" s="86" t="s">
        <v>59</v>
      </c>
      <c r="G15" s="87" t="s">
        <v>31</v>
      </c>
      <c r="H15" s="131" t="str">
        <f>CONCATENATE(J15,B7,K15)</f>
        <v>Thank you for selecting &lt;&lt;Audit body&gt;&gt; for the provision of audit services. Please refer to the following information regarding your audit.</v>
      </c>
      <c r="I15" s="132"/>
      <c r="J15" s="80" t="s">
        <v>60</v>
      </c>
      <c r="K15" s="80" t="s">
        <v>61</v>
      </c>
    </row>
    <row r="16" spans="1:20">
      <c r="A16" s="17" t="s">
        <v>62</v>
      </c>
      <c r="B16" s="18" t="s">
        <v>63</v>
      </c>
      <c r="C16" s="84"/>
      <c r="E16" s="86"/>
      <c r="F16" s="86" t="s">
        <v>64</v>
      </c>
      <c r="G16" s="87" t="s">
        <v>31</v>
      </c>
      <c r="H16" s="131" t="str">
        <f>CONCATENATE(J16,B7,K16)</f>
        <v>Thank you for selecting &lt;&lt;Audit body&gt;&gt; for the provision of audit services. Please refer to the following information regarding the outcome of your audit.</v>
      </c>
      <c r="I16" s="132"/>
      <c r="J16" s="80" t="s">
        <v>60</v>
      </c>
      <c r="K16" s="80" t="s">
        <v>65</v>
      </c>
    </row>
    <row r="17" spans="1:11">
      <c r="A17" s="17" t="s">
        <v>66</v>
      </c>
      <c r="B17" s="18" t="s">
        <v>67</v>
      </c>
      <c r="C17" s="84"/>
      <c r="H17" s="131" t="s">
        <v>68</v>
      </c>
      <c r="I17" s="132"/>
    </row>
    <row r="18" spans="1:11">
      <c r="A18" s="17" t="s">
        <v>69</v>
      </c>
      <c r="B18" s="18" t="s">
        <v>70</v>
      </c>
      <c r="C18" s="84"/>
      <c r="E18" s="86"/>
      <c r="F18" s="86" t="s">
        <v>71</v>
      </c>
      <c r="G18" s="87" t="s">
        <v>31</v>
      </c>
      <c r="H18" s="131" t="str">
        <f>CONCATENATE(J18,B34,K18)</f>
        <v>Major nonconformances were identified during this audit and will need to be corrected and verified within 90 days of the date of this report.</v>
      </c>
      <c r="I18" s="132"/>
      <c r="J18" s="80" t="s">
        <v>72</v>
      </c>
      <c r="K18" s="88" t="s">
        <v>73</v>
      </c>
    </row>
    <row r="19" spans="1:11" ht="15" thickBot="1">
      <c r="A19" s="17" t="s">
        <v>74</v>
      </c>
      <c r="B19" s="18" t="s">
        <v>75</v>
      </c>
      <c r="C19" s="84"/>
      <c r="E19" s="86"/>
      <c r="F19" s="86" t="s">
        <v>76</v>
      </c>
      <c r="G19" s="87" t="s">
        <v>31</v>
      </c>
      <c r="H19" s="133" t="str">
        <f>CONCATENATE(J19,B34,K19)</f>
        <v>at a follow up audit within 90 days of this report.</v>
      </c>
      <c r="I19" s="134"/>
      <c r="J19" s="80" t="s">
        <v>77</v>
      </c>
      <c r="K19" s="88" t="s">
        <v>78</v>
      </c>
    </row>
    <row r="20" spans="1:11">
      <c r="A20" s="17" t="s">
        <v>79</v>
      </c>
      <c r="B20" s="18" t="s">
        <v>11</v>
      </c>
      <c r="C20" s="89" t="s">
        <v>12</v>
      </c>
      <c r="D20" s="83" t="s">
        <v>80</v>
      </c>
      <c r="E20" s="83"/>
      <c r="F20" s="83"/>
      <c r="G20" s="83"/>
    </row>
    <row r="21" spans="1:11" ht="15" thickBot="1">
      <c r="A21" s="17" t="s">
        <v>81</v>
      </c>
      <c r="B21" s="18" t="s">
        <v>82</v>
      </c>
      <c r="C21" s="84" t="s">
        <v>12</v>
      </c>
      <c r="D21" s="83" t="s">
        <v>83</v>
      </c>
      <c r="E21" s="83"/>
      <c r="F21" s="83"/>
      <c r="G21" s="83"/>
      <c r="H21" s="93" t="s">
        <v>84</v>
      </c>
    </row>
    <row r="22" spans="1:11">
      <c r="A22" s="17" t="s">
        <v>85</v>
      </c>
      <c r="B22" s="18" t="s">
        <v>86</v>
      </c>
      <c r="H22" s="135" t="s">
        <v>87</v>
      </c>
      <c r="I22" s="136"/>
    </row>
    <row r="23" spans="1:11">
      <c r="A23" s="17" t="s">
        <v>88</v>
      </c>
      <c r="B23" s="18" t="s">
        <v>89</v>
      </c>
      <c r="H23" s="118" t="s">
        <v>90</v>
      </c>
      <c r="I23" s="119"/>
    </row>
    <row r="24" spans="1:11">
      <c r="A24" s="17" t="s">
        <v>91</v>
      </c>
      <c r="B24" s="18" t="s">
        <v>92</v>
      </c>
      <c r="H24" s="118" t="s">
        <v>93</v>
      </c>
      <c r="I24" s="119"/>
    </row>
    <row r="25" spans="1:11" ht="15" thickBot="1">
      <c r="A25" s="20" t="s">
        <v>94</v>
      </c>
      <c r="B25" s="21" t="s">
        <v>95</v>
      </c>
      <c r="H25" s="118" t="s">
        <v>96</v>
      </c>
      <c r="I25" s="119"/>
    </row>
    <row r="26" spans="1:11">
      <c r="H26" s="118" t="s">
        <v>97</v>
      </c>
      <c r="I26" s="119"/>
    </row>
    <row r="27" spans="1:11" ht="15" thickBot="1">
      <c r="A27" s="81" t="s">
        <v>98</v>
      </c>
      <c r="H27" s="118" t="s">
        <v>99</v>
      </c>
      <c r="I27" s="119"/>
    </row>
    <row r="28" spans="1:11">
      <c r="A28" s="28" t="s">
        <v>100</v>
      </c>
      <c r="B28" s="29" t="s">
        <v>101</v>
      </c>
      <c r="H28" s="118" t="s">
        <v>102</v>
      </c>
      <c r="I28" s="119"/>
    </row>
    <row r="29" spans="1:11">
      <c r="A29" s="30" t="s">
        <v>103</v>
      </c>
      <c r="B29" s="31" t="s">
        <v>11</v>
      </c>
      <c r="H29" s="118" t="s">
        <v>104</v>
      </c>
      <c r="I29" s="119"/>
    </row>
    <row r="30" spans="1:11" ht="15" thickBot="1">
      <c r="A30" s="32" t="s">
        <v>105</v>
      </c>
      <c r="B30" s="33" t="s">
        <v>11</v>
      </c>
      <c r="H30" s="118" t="s">
        <v>106</v>
      </c>
      <c r="I30" s="119"/>
    </row>
    <row r="31" spans="1:11">
      <c r="H31" s="118" t="s">
        <v>107</v>
      </c>
      <c r="I31" s="119"/>
    </row>
    <row r="32" spans="1:11" ht="15" thickBot="1">
      <c r="A32" s="81" t="s">
        <v>108</v>
      </c>
      <c r="H32" s="118" t="s">
        <v>109</v>
      </c>
      <c r="I32" s="119"/>
    </row>
    <row r="33" spans="1:9">
      <c r="A33" s="22" t="s">
        <v>110</v>
      </c>
      <c r="B33" s="23" t="s">
        <v>11</v>
      </c>
      <c r="H33" s="118" t="s">
        <v>111</v>
      </c>
      <c r="I33" s="119"/>
    </row>
    <row r="34" spans="1:9">
      <c r="A34" s="24" t="s">
        <v>112</v>
      </c>
      <c r="B34" s="25" t="s">
        <v>113</v>
      </c>
      <c r="C34" s="84" t="s">
        <v>114</v>
      </c>
      <c r="D34" s="83" t="s">
        <v>115</v>
      </c>
      <c r="E34" s="83"/>
      <c r="F34" s="83"/>
      <c r="G34" s="83"/>
      <c r="H34" s="118" t="s">
        <v>116</v>
      </c>
      <c r="I34" s="119"/>
    </row>
    <row r="35" spans="1:9">
      <c r="A35" s="24" t="s">
        <v>117</v>
      </c>
      <c r="B35" s="25"/>
      <c r="C35" s="84" t="s">
        <v>114</v>
      </c>
      <c r="D35" s="83" t="s">
        <v>118</v>
      </c>
      <c r="E35" s="83"/>
      <c r="F35" s="83"/>
      <c r="G35" s="83"/>
      <c r="H35" s="118" t="s">
        <v>119</v>
      </c>
      <c r="I35" s="119"/>
    </row>
    <row r="36" spans="1:9">
      <c r="A36" s="24" t="s">
        <v>120</v>
      </c>
      <c r="B36" s="25" t="s">
        <v>11</v>
      </c>
      <c r="C36" s="84"/>
      <c r="H36" s="118" t="s">
        <v>121</v>
      </c>
      <c r="I36" s="119"/>
    </row>
    <row r="37" spans="1:9">
      <c r="A37" s="24" t="s">
        <v>122</v>
      </c>
      <c r="B37" s="25"/>
      <c r="C37" s="84" t="s">
        <v>114</v>
      </c>
      <c r="D37" s="83" t="s">
        <v>123</v>
      </c>
      <c r="E37" s="83"/>
      <c r="F37" s="83"/>
      <c r="G37" s="83"/>
      <c r="H37" s="118" t="s">
        <v>124</v>
      </c>
      <c r="I37" s="119"/>
    </row>
    <row r="38" spans="1:9" ht="15" thickBot="1">
      <c r="A38" s="26" t="s">
        <v>125</v>
      </c>
      <c r="B38" s="27"/>
      <c r="C38" s="84" t="s">
        <v>114</v>
      </c>
      <c r="D38" s="83" t="s">
        <v>123</v>
      </c>
      <c r="E38" s="83"/>
      <c r="F38" s="83"/>
      <c r="G38" s="83"/>
      <c r="H38" s="118" t="s">
        <v>126</v>
      </c>
      <c r="I38" s="119"/>
    </row>
    <row r="39" spans="1:9">
      <c r="H39" s="118" t="s">
        <v>127</v>
      </c>
      <c r="I39" s="119"/>
    </row>
    <row r="40" spans="1:9">
      <c r="H40" s="118" t="s">
        <v>128</v>
      </c>
      <c r="I40" s="119"/>
    </row>
    <row r="41" spans="1:9" ht="15" thickBot="1">
      <c r="H41" s="120" t="s">
        <v>129</v>
      </c>
      <c r="I41" s="121"/>
    </row>
  </sheetData>
  <mergeCells count="35">
    <mergeCell ref="H15:I15"/>
    <mergeCell ref="H4:I4"/>
    <mergeCell ref="H7:I7"/>
    <mergeCell ref="H8:I8"/>
    <mergeCell ref="H9:I9"/>
    <mergeCell ref="H35:I35"/>
    <mergeCell ref="H36:I36"/>
    <mergeCell ref="H24:I24"/>
    <mergeCell ref="H25:I25"/>
    <mergeCell ref="H26:I26"/>
    <mergeCell ref="H27:I27"/>
    <mergeCell ref="H28:I28"/>
    <mergeCell ref="H30:I30"/>
    <mergeCell ref="H29:I29"/>
    <mergeCell ref="D4:F7"/>
    <mergeCell ref="H31:I31"/>
    <mergeCell ref="H32:I32"/>
    <mergeCell ref="H33:I33"/>
    <mergeCell ref="H34:I34"/>
    <mergeCell ref="H16:I16"/>
    <mergeCell ref="H17:I17"/>
    <mergeCell ref="H18:I18"/>
    <mergeCell ref="H19:I19"/>
    <mergeCell ref="H22:I22"/>
    <mergeCell ref="H23:I23"/>
    <mergeCell ref="H10:I10"/>
    <mergeCell ref="H11:I11"/>
    <mergeCell ref="H12:I12"/>
    <mergeCell ref="H13:I13"/>
    <mergeCell ref="H14:I14"/>
    <mergeCell ref="H37:I37"/>
    <mergeCell ref="H38:I38"/>
    <mergeCell ref="H39:I39"/>
    <mergeCell ref="H40:I40"/>
    <mergeCell ref="H41:I41"/>
  </mergeCells>
  <dataValidations count="1">
    <dataValidation type="list" allowBlank="1" showInputMessage="1" showErrorMessage="1" sqref="C35 C37:C38 B35 B37 B38" xr:uid="{00000000-0002-0000-0000-000000000000}">
      <formula1>$H$2:$H$3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view="pageLayout" zoomScaleNormal="100" workbookViewId="0">
      <selection activeCell="D20" sqref="D20"/>
    </sheetView>
  </sheetViews>
  <sheetFormatPr defaultColWidth="8.85546875" defaultRowHeight="14.1"/>
  <cols>
    <col min="1" max="1" width="24.7109375" style="1" customWidth="1"/>
    <col min="2" max="2" width="51" style="2" customWidth="1"/>
    <col min="3" max="3" width="10.5703125" style="2" customWidth="1"/>
    <col min="4" max="5" width="8.85546875" style="1"/>
    <col min="6" max="6" width="11.42578125" style="1" customWidth="1"/>
    <col min="7" max="16384" width="8.85546875" style="1"/>
  </cols>
  <sheetData>
    <row r="1" spans="1:6" ht="20.100000000000001">
      <c r="A1" s="141" t="s">
        <v>130</v>
      </c>
      <c r="B1" s="141"/>
      <c r="C1" s="141"/>
      <c r="D1" s="104"/>
      <c r="E1" s="104"/>
      <c r="F1" s="104"/>
    </row>
    <row r="2" spans="1:6">
      <c r="A2" s="8"/>
      <c r="B2" s="9"/>
      <c r="C2" s="9"/>
    </row>
    <row r="3" spans="1:6" ht="21.6" customHeight="1">
      <c r="A3" s="99" t="s">
        <v>131</v>
      </c>
      <c r="B3" s="142" t="str">
        <f>'Audit information'!B2</f>
        <v>&lt;&lt;Auditee&gt;&gt;</v>
      </c>
      <c r="C3" s="142"/>
    </row>
    <row r="4" spans="1:6" ht="21.6" customHeight="1">
      <c r="A4" s="99" t="s">
        <v>132</v>
      </c>
      <c r="B4" s="142" t="str">
        <f>'Audit information'!B8</f>
        <v>&lt;&lt;Lead auditor&gt;&gt;</v>
      </c>
      <c r="C4" s="142"/>
    </row>
    <row r="5" spans="1:6" ht="21.6" customHeight="1">
      <c r="A5" s="99" t="s">
        <v>133</v>
      </c>
      <c r="B5" s="142" t="str">
        <f>'Audit information'!B18</f>
        <v>&lt;&lt;Audit client&gt;&gt;</v>
      </c>
      <c r="C5" s="142"/>
    </row>
    <row r="6" spans="1:6" ht="21.6" customHeight="1">
      <c r="A6" s="36"/>
      <c r="B6" s="37"/>
      <c r="C6" s="101"/>
    </row>
    <row r="7" spans="1:6" ht="35.450000000000003" customHeight="1">
      <c r="A7" s="99" t="s">
        <v>134</v>
      </c>
      <c r="B7" s="142" t="str">
        <f>'Audit information'!B15</f>
        <v>To determine the capablity of the management system to meet the audit criteria, and to identify areas of potential improvement.</v>
      </c>
      <c r="C7" s="142"/>
      <c r="D7" s="3"/>
      <c r="E7" s="3"/>
      <c r="F7" s="3"/>
    </row>
    <row r="8" spans="1:6" ht="21.6" customHeight="1">
      <c r="A8" s="99" t="s">
        <v>135</v>
      </c>
      <c r="B8" s="142" t="str">
        <f>'Audit information'!B16</f>
        <v>&lt;&lt;Audit scope&gt;&gt;</v>
      </c>
      <c r="C8" s="142"/>
      <c r="D8" s="3"/>
      <c r="E8" s="3"/>
      <c r="F8" s="3"/>
    </row>
    <row r="9" spans="1:6" ht="21.6" customHeight="1">
      <c r="A9" s="99" t="s">
        <v>136</v>
      </c>
      <c r="B9" s="142" t="str">
        <f>'Audit information'!B17</f>
        <v>&lt;&lt;Audit criteria&gt;&gt;</v>
      </c>
      <c r="C9" s="142"/>
      <c r="D9" s="3"/>
      <c r="E9" s="3"/>
      <c r="F9" s="3"/>
    </row>
    <row r="10" spans="1:6" ht="21.6" customHeight="1">
      <c r="A10" s="38"/>
      <c r="B10" s="101"/>
      <c r="C10" s="101"/>
    </row>
    <row r="11" spans="1:6" ht="21.6" customHeight="1">
      <c r="A11" s="99" t="s">
        <v>137</v>
      </c>
      <c r="B11" s="142" t="str">
        <f>'Audit information'!B28</f>
        <v>&lt;&lt;Document name&gt;&gt;</v>
      </c>
      <c r="C11" s="142"/>
    </row>
    <row r="12" spans="1:6" ht="21.6" customHeight="1">
      <c r="A12" s="99" t="str">
        <f>IF('Audit information'!$B$9=0,"Principal auditor:","Lead auditor:")</f>
        <v>Lead auditor:</v>
      </c>
      <c r="B12" s="145" t="str">
        <f>'Audit information'!B8</f>
        <v>&lt;&lt;Lead auditor&gt;&gt;</v>
      </c>
      <c r="C12" s="145"/>
    </row>
    <row r="13" spans="1:6" ht="21.6" customHeight="1">
      <c r="A13" s="99" t="s">
        <v>138</v>
      </c>
      <c r="B13" s="142" t="b">
        <f>IF('Audit information'!B9=0,"Nil",(IF('Audit information'!B9=1,'Audit information'!B10,(IF('Audit information'!B9=2,(CONCATENATE('Audit information'!B10,'Audit information'!T6,'Audit information'!B11)),(IF('Audit information'!B9=3,(CONCATENATE('Audit information'!B10,'Audit information'!T4,'Audit information'!B11,'Audit information'!T5,'Audit information'!B12)),(IF('Audit information'!B9=4,(CONCATENATE('Audit information'!B10,'Audit information'!T3,'Audit information'!B11,'Audit information'!T4,'Audit information'!B12,'Audit information'!T5,'Audit information'!B13)),(IF('Audit information'!B9=5,(CONCATENATE('Audit information'!B10,'Audit information'!T2,'Audit information'!B11,'Audit information'!T3,'Audit information'!B12,'Audit information'!T4,'Audit information'!B13,'Audit information'!T5,'Audit information'!B14)))))))))))))</f>
        <v>0</v>
      </c>
      <c r="C13" s="142"/>
    </row>
    <row r="14" spans="1:6" ht="21.6" customHeight="1">
      <c r="A14" s="38"/>
      <c r="B14" s="101"/>
      <c r="C14" s="101"/>
    </row>
    <row r="15" spans="1:6" ht="21.6" customHeight="1">
      <c r="A15" s="99" t="s">
        <v>139</v>
      </c>
      <c r="B15" s="145" t="str">
        <f>'Audit information'!B19</f>
        <v>&lt;&lt;Main location&gt;&gt;</v>
      </c>
      <c r="C15" s="145"/>
    </row>
    <row r="16" spans="1:6" ht="21.6" customHeight="1">
      <c r="A16" s="99" t="s">
        <v>140</v>
      </c>
      <c r="B16" s="142" t="b">
        <f>IF('Audit information'!B20=0,"Nil",(IF('Audit information'!B20=1,'Audit information'!B21,(IF('Audit information'!B20=2,(CONCATENATE('Audit information'!B21,'Audit information'!T6,'Audit information'!B22)),(IF('Audit information'!B20=3,(CONCATENATE('Audit information'!B21,'Audit information'!T4,'Audit information'!B22,'Audit information'!T5,'Audit information'!B23)),(IF('Audit information'!B20=4,(CONCATENATE('Audit information'!B21,'Audit information'!T3,'Audit information'!B22,'Audit information'!T4,'Audit information'!B23,'Audit information'!T5,'Audit information'!B24)),(IF('Audit information'!B20=5,(CONCATENATE('Audit information'!B21,'Audit information'!T2,'Audit information'!B22,'Audit information'!T3,'Audit information'!B23,'Audit information'!T4,'Audit information'!B24,'Audit information'!T5,'Audit information'!B25)))))))))))))</f>
        <v>0</v>
      </c>
      <c r="C16" s="142"/>
    </row>
    <row r="17" spans="1:6" ht="21.6" customHeight="1">
      <c r="A17" s="99" t="s">
        <v>141</v>
      </c>
      <c r="B17" s="145" t="str">
        <f>'Audit information'!B6</f>
        <v>&lt;&lt;auditee contact&gt;&gt;</v>
      </c>
      <c r="C17" s="145"/>
    </row>
    <row r="18" spans="1:6" ht="21.6" customHeight="1">
      <c r="A18" s="4"/>
      <c r="B18" s="5"/>
      <c r="C18" s="5"/>
    </row>
    <row r="19" spans="1:6" ht="15.95" thickBot="1">
      <c r="A19" s="155" t="s">
        <v>142</v>
      </c>
      <c r="B19" s="155"/>
      <c r="C19" s="155"/>
      <c r="D19" s="105"/>
      <c r="E19" s="105"/>
      <c r="F19" s="105"/>
    </row>
    <row r="20" spans="1:6" ht="21" customHeight="1">
      <c r="A20" s="146" t="s">
        <v>143</v>
      </c>
      <c r="B20" s="147"/>
      <c r="C20" s="103"/>
    </row>
    <row r="21" spans="1:6" ht="21" customHeight="1">
      <c r="A21" s="148" t="s">
        <v>144</v>
      </c>
      <c r="B21" s="149"/>
      <c r="C21" s="39"/>
    </row>
    <row r="22" spans="1:6" ht="21" customHeight="1">
      <c r="A22" s="148" t="s">
        <v>145</v>
      </c>
      <c r="B22" s="149"/>
      <c r="C22" s="39"/>
    </row>
    <row r="23" spans="1:6" ht="28.15" customHeight="1">
      <c r="A23" s="148" t="s">
        <v>146</v>
      </c>
      <c r="B23" s="149"/>
      <c r="C23" s="39" t="str">
        <f>IF('Audit information'!B29&gt;0,'Audit information'!H2,'Audit information'!H3)</f>
        <v>Yes</v>
      </c>
    </row>
    <row r="24" spans="1:6" ht="28.15" customHeight="1">
      <c r="A24" s="148" t="s">
        <v>147</v>
      </c>
      <c r="B24" s="149"/>
      <c r="C24" s="39" t="str">
        <f>IF('Audit information'!B30&gt;0,'Audit information'!H2,'Audit information'!H3)</f>
        <v>Yes</v>
      </c>
    </row>
    <row r="25" spans="1:6" ht="21" customHeight="1">
      <c r="A25" s="148" t="s">
        <v>148</v>
      </c>
      <c r="B25" s="149"/>
      <c r="C25" s="39" t="str">
        <f>IF(C23='Audit information'!H2,'Audit information'!H3,'Audit information'!H2)</f>
        <v>No</v>
      </c>
    </row>
    <row r="26" spans="1:6" ht="21" customHeight="1" thickBot="1">
      <c r="A26" s="40" t="s">
        <v>149</v>
      </c>
      <c r="B26" s="153" t="str">
        <f>IF(C25='Audit information'!H2,'Audit information'!B4,'Audit information'!H17)</f>
        <v>The audit will proceed once critical findings are sufficiently addressed.</v>
      </c>
      <c r="C26" s="154"/>
    </row>
    <row r="27" spans="1:6" ht="21" customHeight="1">
      <c r="A27" s="6"/>
      <c r="B27" s="7"/>
      <c r="C27" s="7"/>
    </row>
    <row r="28" spans="1:6" ht="21" customHeight="1">
      <c r="A28" s="152" t="s">
        <v>150</v>
      </c>
      <c r="B28" s="152"/>
      <c r="C28" s="152"/>
    </row>
    <row r="29" spans="1:6" ht="72.599999999999994" customHeight="1">
      <c r="A29" s="150" t="s">
        <v>151</v>
      </c>
      <c r="B29" s="151"/>
      <c r="C29" s="151"/>
    </row>
    <row r="30" spans="1:6" ht="21" customHeight="1">
      <c r="A30" s="99" t="s">
        <v>152</v>
      </c>
      <c r="B30" s="143"/>
      <c r="C30" s="143"/>
    </row>
    <row r="31" spans="1:6" ht="21" customHeight="1">
      <c r="A31" s="99" t="s">
        <v>153</v>
      </c>
      <c r="B31" s="144" t="s">
        <v>16</v>
      </c>
      <c r="C31" s="144"/>
    </row>
  </sheetData>
  <mergeCells count="25">
    <mergeCell ref="B16:C16"/>
    <mergeCell ref="A29:C29"/>
    <mergeCell ref="A28:C28"/>
    <mergeCell ref="B26:C26"/>
    <mergeCell ref="B17:C17"/>
    <mergeCell ref="A23:B23"/>
    <mergeCell ref="A24:B24"/>
    <mergeCell ref="A25:B25"/>
    <mergeCell ref="A19:C19"/>
    <mergeCell ref="A1:C1"/>
    <mergeCell ref="B3:C3"/>
    <mergeCell ref="B7:C7"/>
    <mergeCell ref="B30:C30"/>
    <mergeCell ref="B31:C31"/>
    <mergeCell ref="B12:C12"/>
    <mergeCell ref="B13:C13"/>
    <mergeCell ref="A20:B20"/>
    <mergeCell ref="A21:B21"/>
    <mergeCell ref="A22:B22"/>
    <mergeCell ref="B4:C4"/>
    <mergeCell ref="B5:C5"/>
    <mergeCell ref="B8:C8"/>
    <mergeCell ref="B9:C9"/>
    <mergeCell ref="B11:C11"/>
    <mergeCell ref="B15:C15"/>
  </mergeCells>
  <conditionalFormatting sqref="B3:C12">
    <cfRule type="containsText" dxfId="162" priority="5" operator="containsText" text="&lt;&lt;">
      <formula>NOT(ISERROR(SEARCH("&lt;&lt;",B3)))</formula>
    </cfRule>
  </conditionalFormatting>
  <conditionalFormatting sqref="B13:C13">
    <cfRule type="containsText" dxfId="161" priority="4" operator="containsText" text="FALSE">
      <formula>NOT(ISERROR(SEARCH("FALSE",B13)))</formula>
    </cfRule>
  </conditionalFormatting>
  <conditionalFormatting sqref="B15:C15 B17:C17">
    <cfRule type="containsText" dxfId="160" priority="3" operator="containsText" text="&lt;&lt;">
      <formula>NOT(ISERROR(SEARCH("&lt;&lt;",B15)))</formula>
    </cfRule>
  </conditionalFormatting>
  <conditionalFormatting sqref="B16:C16">
    <cfRule type="containsText" dxfId="159" priority="2" operator="containsText" text="FALSE">
      <formula>NOT(ISERROR(SEARCH("FALSE",B16)))</formula>
    </cfRule>
  </conditionalFormatting>
  <conditionalFormatting sqref="B26:C26">
    <cfRule type="containsText" dxfId="158" priority="1" operator="containsText" text="dd/mm/yyyy">
      <formula>NOT(ISERROR(SEARCH("dd/mm/yyyy",B26)))</formula>
    </cfRule>
  </conditionalFormatting>
  <conditionalFormatting sqref="B30:C30">
    <cfRule type="containsBlanks" dxfId="157" priority="13">
      <formula>LEN(TRIM(B30))=0</formula>
    </cfRule>
  </conditionalFormatting>
  <conditionalFormatting sqref="B31:C31">
    <cfRule type="containsText" dxfId="156" priority="12" operator="containsText" text="dd/mm/yyyy">
      <formula>NOT(ISERROR(SEARCH("dd/mm/yyyy",B31)))</formula>
    </cfRule>
  </conditionalFormatting>
  <conditionalFormatting sqref="C20:C22">
    <cfRule type="containsBlanks" dxfId="155" priority="14">
      <formula>LEN(TRIM(C20))=0</formula>
    </cfRule>
  </conditionalFormatting>
  <pageMargins left="0.7" right="0.77500000000000002" top="0.75" bottom="0.75" header="0.3" footer="0.3"/>
  <pageSetup paperSize="9" orientation="portrait" verticalDpi="1200" r:id="rId1"/>
  <headerFooter>
    <oddFooter>&amp;L&amp;"Arial,Regular"&amp;8&lt;&lt;footer&gt;&gt;</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'Audit information'!$H$2:$H$3</xm:f>
          </x14:formula1>
          <xm:sqref>C20:C22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8"/>
  <sheetViews>
    <sheetView view="pageLayout" zoomScaleNormal="100" workbookViewId="0">
      <selection activeCell="A27" sqref="A27"/>
    </sheetView>
  </sheetViews>
  <sheetFormatPr defaultColWidth="8.85546875" defaultRowHeight="14.1"/>
  <cols>
    <col min="1" max="1" width="87.28515625" style="11" customWidth="1"/>
    <col min="2" max="16384" width="8.85546875" style="11"/>
  </cols>
  <sheetData>
    <row r="1" spans="1:1" ht="20.100000000000001">
      <c r="A1" s="106" t="s">
        <v>154</v>
      </c>
    </row>
    <row r="3" spans="1:1" ht="15.6">
      <c r="A3" s="107" t="s">
        <v>155</v>
      </c>
    </row>
    <row r="5" spans="1:1" ht="24.95">
      <c r="A5" s="75" t="str">
        <f>IF('Audit information'!B29=0,'Audit information'!H7,'Audit information'!H8)</f>
        <v>Based on information reviewed during the document review, the following items are deemed as being of critical significance within &lt;&lt;Auditee&gt;&gt;'s management system:</v>
      </c>
    </row>
    <row r="6" spans="1:1">
      <c r="A6" s="43"/>
    </row>
    <row r="7" spans="1:1">
      <c r="A7" s="43"/>
    </row>
    <row r="8" spans="1:1">
      <c r="A8" s="43"/>
    </row>
    <row r="9" spans="1:1">
      <c r="A9" s="43"/>
    </row>
    <row r="10" spans="1:1" ht="15.6">
      <c r="A10" s="107" t="s">
        <v>156</v>
      </c>
    </row>
    <row r="12" spans="1:1" ht="24.95">
      <c r="A12" s="75" t="str">
        <f>IF('Audit information'!B30=0,'Audit information'!H9,'Audit information'!H10)</f>
        <v>Based on information reviewed during the document review, it is not clear how &lt;&lt;Auditee&gt;&gt; define or control the following:</v>
      </c>
    </row>
    <row r="13" spans="1:1">
      <c r="A13" s="43"/>
    </row>
    <row r="14" spans="1:1">
      <c r="A14" s="43"/>
    </row>
    <row r="15" spans="1:1">
      <c r="A15" s="43"/>
    </row>
    <row r="16" spans="1:1">
      <c r="A16" s="43"/>
    </row>
    <row r="17" spans="1:1">
      <c r="A17" s="43"/>
    </row>
    <row r="18" spans="1:1">
      <c r="A18" s="43"/>
    </row>
    <row r="19" spans="1:1">
      <c r="A19" s="43"/>
    </row>
    <row r="20" spans="1:1">
      <c r="A20" s="43"/>
    </row>
    <row r="21" spans="1:1">
      <c r="A21" s="43"/>
    </row>
    <row r="22" spans="1:1">
      <c r="A22" s="43"/>
    </row>
    <row r="23" spans="1:1">
      <c r="A23" s="43"/>
    </row>
    <row r="24" spans="1:1">
      <c r="A24" s="43"/>
    </row>
    <row r="25" spans="1:1">
      <c r="A25" s="43"/>
    </row>
    <row r="26" spans="1:1">
      <c r="A26" s="43"/>
    </row>
    <row r="27" spans="1:1">
      <c r="A27" s="43"/>
    </row>
    <row r="28" spans="1:1">
      <c r="A28" s="43"/>
    </row>
    <row r="29" spans="1:1">
      <c r="A29" s="43"/>
    </row>
    <row r="30" spans="1:1">
      <c r="A30" s="43"/>
    </row>
    <row r="31" spans="1:1">
      <c r="A31" s="43"/>
    </row>
    <row r="32" spans="1:1">
      <c r="A32" s="43"/>
    </row>
    <row r="33" spans="1:1">
      <c r="A33" s="43"/>
    </row>
    <row r="34" spans="1:1">
      <c r="A34" s="43"/>
    </row>
    <row r="35" spans="1:1">
      <c r="A35" s="43"/>
    </row>
    <row r="36" spans="1:1">
      <c r="A36" s="43"/>
    </row>
    <row r="37" spans="1:1">
      <c r="A37" s="43"/>
    </row>
    <row r="38" spans="1:1">
      <c r="A38" s="43"/>
    </row>
    <row r="39" spans="1:1">
      <c r="A39" s="43"/>
    </row>
    <row r="40" spans="1:1">
      <c r="A40" s="43"/>
    </row>
    <row r="41" spans="1:1">
      <c r="A41" s="43"/>
    </row>
    <row r="42" spans="1:1">
      <c r="A42" s="43"/>
    </row>
    <row r="43" spans="1:1">
      <c r="A43" s="43"/>
    </row>
    <row r="44" spans="1:1">
      <c r="A44" s="43"/>
    </row>
    <row r="45" spans="1:1">
      <c r="A45" s="43"/>
    </row>
    <row r="46" spans="1:1">
      <c r="A46" s="43"/>
    </row>
    <row r="47" spans="1:1">
      <c r="A47" s="43"/>
    </row>
    <row r="48" spans="1:1">
      <c r="A48" s="43"/>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row r="96" spans="1:1">
      <c r="A96" s="43"/>
    </row>
    <row r="97" spans="1:1">
      <c r="A97" s="43"/>
    </row>
    <row r="98" spans="1:1">
      <c r="A98" s="43"/>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43"/>
    </row>
    <row r="112" spans="1:1">
      <c r="A112" s="43"/>
    </row>
    <row r="113" spans="1:1">
      <c r="A113" s="43"/>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3" spans="1:1">
      <c r="A123" s="43"/>
    </row>
    <row r="124" spans="1:1">
      <c r="A124" s="43"/>
    </row>
    <row r="125" spans="1:1">
      <c r="A125" s="43"/>
    </row>
    <row r="126" spans="1:1">
      <c r="A126" s="43"/>
    </row>
    <row r="127" spans="1:1">
      <c r="A127" s="43"/>
    </row>
    <row r="128" spans="1:1">
      <c r="A128" s="43"/>
    </row>
    <row r="129" spans="1:1">
      <c r="A129" s="43"/>
    </row>
    <row r="130" spans="1:1">
      <c r="A130" s="43"/>
    </row>
    <row r="131" spans="1:1">
      <c r="A131" s="43"/>
    </row>
    <row r="132" spans="1:1">
      <c r="A132" s="43"/>
    </row>
    <row r="133" spans="1:1">
      <c r="A133" s="43"/>
    </row>
    <row r="134" spans="1:1">
      <c r="A134" s="43"/>
    </row>
    <row r="135" spans="1:1">
      <c r="A135" s="43"/>
    </row>
    <row r="136" spans="1:1">
      <c r="A136" s="43"/>
    </row>
    <row r="137" spans="1:1">
      <c r="A137" s="43"/>
    </row>
    <row r="138" spans="1:1">
      <c r="A138" s="43"/>
    </row>
    <row r="139" spans="1:1">
      <c r="A139" s="43"/>
    </row>
    <row r="140" spans="1:1">
      <c r="A140" s="43"/>
    </row>
    <row r="141" spans="1:1">
      <c r="A141" s="43"/>
    </row>
    <row r="142" spans="1:1">
      <c r="A142" s="43"/>
    </row>
    <row r="143" spans="1:1">
      <c r="A143" s="43"/>
    </row>
    <row r="144" spans="1:1">
      <c r="A144" s="43"/>
    </row>
    <row r="145" spans="1:1">
      <c r="A145" s="43"/>
    </row>
    <row r="146" spans="1:1">
      <c r="A146" s="43"/>
    </row>
    <row r="147" spans="1:1">
      <c r="A147" s="43"/>
    </row>
    <row r="148" spans="1:1">
      <c r="A148" s="43"/>
    </row>
    <row r="149" spans="1:1">
      <c r="A149" s="43"/>
    </row>
    <row r="150" spans="1:1">
      <c r="A150" s="43"/>
    </row>
    <row r="151" spans="1:1">
      <c r="A151" s="43"/>
    </row>
    <row r="152" spans="1:1">
      <c r="A152" s="43"/>
    </row>
    <row r="153" spans="1:1">
      <c r="A153" s="43"/>
    </row>
    <row r="154" spans="1:1">
      <c r="A154" s="43"/>
    </row>
    <row r="155" spans="1:1">
      <c r="A155" s="43"/>
    </row>
    <row r="156" spans="1:1">
      <c r="A156" s="43"/>
    </row>
    <row r="157" spans="1:1">
      <c r="A157" s="43"/>
    </row>
    <row r="158" spans="1:1">
      <c r="A158" s="43"/>
    </row>
    <row r="159" spans="1:1">
      <c r="A159" s="43"/>
    </row>
    <row r="160" spans="1:1">
      <c r="A160" s="43"/>
    </row>
    <row r="161" spans="1:1">
      <c r="A161" s="43"/>
    </row>
    <row r="162" spans="1:1">
      <c r="A162" s="43"/>
    </row>
    <row r="163" spans="1:1">
      <c r="A163" s="43"/>
    </row>
    <row r="164" spans="1:1">
      <c r="A164" s="43"/>
    </row>
    <row r="165" spans="1:1">
      <c r="A165" s="43"/>
    </row>
    <row r="166" spans="1:1">
      <c r="A166" s="43"/>
    </row>
    <row r="167" spans="1:1">
      <c r="A167" s="43"/>
    </row>
    <row r="168" spans="1:1">
      <c r="A168" s="43"/>
    </row>
    <row r="169" spans="1:1">
      <c r="A169" s="43"/>
    </row>
    <row r="170" spans="1:1">
      <c r="A170" s="43"/>
    </row>
    <row r="171" spans="1:1">
      <c r="A171" s="43"/>
    </row>
    <row r="172" spans="1:1">
      <c r="A172" s="43"/>
    </row>
    <row r="173" spans="1:1">
      <c r="A173" s="43"/>
    </row>
    <row r="174" spans="1:1">
      <c r="A174" s="43"/>
    </row>
    <row r="175" spans="1:1">
      <c r="A175" s="43"/>
    </row>
    <row r="176" spans="1:1">
      <c r="A176" s="43"/>
    </row>
    <row r="177" spans="1:1">
      <c r="A177" s="43"/>
    </row>
    <row r="178" spans="1:1">
      <c r="A178" s="43"/>
    </row>
    <row r="179" spans="1:1">
      <c r="A179" s="43"/>
    </row>
    <row r="180" spans="1:1">
      <c r="A180" s="43"/>
    </row>
    <row r="181" spans="1:1">
      <c r="A181" s="43"/>
    </row>
    <row r="182" spans="1:1">
      <c r="A182" s="43"/>
    </row>
    <row r="183" spans="1:1">
      <c r="A183" s="43"/>
    </row>
    <row r="184" spans="1:1">
      <c r="A184" s="43"/>
    </row>
    <row r="185" spans="1:1">
      <c r="A185" s="43"/>
    </row>
    <row r="186" spans="1:1">
      <c r="A186" s="43"/>
    </row>
    <row r="187" spans="1:1">
      <c r="A187" s="43"/>
    </row>
    <row r="188" spans="1:1">
      <c r="A188" s="43"/>
    </row>
    <row r="189" spans="1:1">
      <c r="A189" s="43"/>
    </row>
    <row r="190" spans="1:1">
      <c r="A190" s="43"/>
    </row>
    <row r="191" spans="1:1">
      <c r="A191" s="43"/>
    </row>
    <row r="192" spans="1:1">
      <c r="A192" s="43"/>
    </row>
    <row r="193" spans="1:1">
      <c r="A193" s="43"/>
    </row>
    <row r="194" spans="1:1">
      <c r="A194" s="43"/>
    </row>
    <row r="195" spans="1:1">
      <c r="A195" s="43"/>
    </row>
    <row r="196" spans="1:1">
      <c r="A196" s="43"/>
    </row>
    <row r="197" spans="1:1">
      <c r="A197" s="43"/>
    </row>
    <row r="198" spans="1:1">
      <c r="A198" s="43"/>
    </row>
    <row r="199" spans="1:1">
      <c r="A199" s="43"/>
    </row>
    <row r="200" spans="1:1">
      <c r="A200" s="43"/>
    </row>
    <row r="201" spans="1:1">
      <c r="A201" s="43"/>
    </row>
    <row r="202" spans="1:1">
      <c r="A202" s="43"/>
    </row>
    <row r="203" spans="1:1">
      <c r="A203" s="43"/>
    </row>
    <row r="204" spans="1:1">
      <c r="A204" s="43"/>
    </row>
    <row r="205" spans="1:1">
      <c r="A205" s="43"/>
    </row>
    <row r="206" spans="1:1">
      <c r="A206" s="43"/>
    </row>
    <row r="207" spans="1:1">
      <c r="A207" s="43"/>
    </row>
    <row r="208" spans="1:1">
      <c r="A208" s="43"/>
    </row>
    <row r="209" spans="1:1">
      <c r="A209" s="43"/>
    </row>
    <row r="210" spans="1:1">
      <c r="A210" s="43"/>
    </row>
    <row r="211" spans="1:1">
      <c r="A211" s="43"/>
    </row>
    <row r="212" spans="1:1">
      <c r="A212" s="43"/>
    </row>
    <row r="213" spans="1:1">
      <c r="A213" s="43"/>
    </row>
    <row r="214" spans="1:1">
      <c r="A214" s="43"/>
    </row>
    <row r="215" spans="1:1">
      <c r="A215" s="43"/>
    </row>
    <row r="216" spans="1:1">
      <c r="A216" s="43"/>
    </row>
    <row r="217" spans="1:1">
      <c r="A217" s="43"/>
    </row>
    <row r="218" spans="1:1">
      <c r="A218" s="43"/>
    </row>
    <row r="219" spans="1:1">
      <c r="A219" s="43"/>
    </row>
    <row r="220" spans="1:1">
      <c r="A220" s="43"/>
    </row>
    <row r="221" spans="1:1">
      <c r="A221" s="43"/>
    </row>
    <row r="222" spans="1:1">
      <c r="A222" s="43"/>
    </row>
    <row r="223" spans="1:1">
      <c r="A223" s="43"/>
    </row>
    <row r="224" spans="1:1">
      <c r="A224" s="43"/>
    </row>
    <row r="225" spans="1:1">
      <c r="A225" s="43"/>
    </row>
    <row r="226" spans="1:1">
      <c r="A226" s="43"/>
    </row>
    <row r="227" spans="1:1">
      <c r="A227" s="43"/>
    </row>
    <row r="228" spans="1:1">
      <c r="A228" s="43"/>
    </row>
    <row r="229" spans="1:1">
      <c r="A229" s="43"/>
    </row>
    <row r="230" spans="1:1">
      <c r="A230" s="43"/>
    </row>
    <row r="231" spans="1:1">
      <c r="A231" s="43"/>
    </row>
    <row r="232" spans="1:1">
      <c r="A232" s="43"/>
    </row>
    <row r="233" spans="1:1">
      <c r="A233" s="43"/>
    </row>
    <row r="234" spans="1:1">
      <c r="A234" s="43"/>
    </row>
    <row r="235" spans="1:1">
      <c r="A235" s="43"/>
    </row>
    <row r="236" spans="1:1">
      <c r="A236" s="43"/>
    </row>
    <row r="237" spans="1:1">
      <c r="A237" s="43"/>
    </row>
    <row r="238" spans="1:1">
      <c r="A238" s="43"/>
    </row>
    <row r="239" spans="1:1">
      <c r="A239" s="43"/>
    </row>
    <row r="240" spans="1:1">
      <c r="A240" s="43"/>
    </row>
    <row r="241" spans="1:1">
      <c r="A241" s="43"/>
    </row>
    <row r="242" spans="1:1">
      <c r="A242" s="43"/>
    </row>
    <row r="243" spans="1:1">
      <c r="A243" s="43"/>
    </row>
    <row r="244" spans="1:1">
      <c r="A244" s="43"/>
    </row>
    <row r="245" spans="1:1">
      <c r="A245" s="43"/>
    </row>
    <row r="246" spans="1:1">
      <c r="A246" s="43"/>
    </row>
    <row r="247" spans="1:1">
      <c r="A247" s="43"/>
    </row>
    <row r="248" spans="1:1">
      <c r="A248" s="43"/>
    </row>
    <row r="249" spans="1:1">
      <c r="A249" s="43"/>
    </row>
    <row r="250" spans="1:1">
      <c r="A250" s="43"/>
    </row>
    <row r="251" spans="1:1">
      <c r="A251" s="43"/>
    </row>
    <row r="252" spans="1:1">
      <c r="A252" s="43"/>
    </row>
    <row r="253" spans="1:1">
      <c r="A253" s="43"/>
    </row>
    <row r="254" spans="1:1">
      <c r="A254" s="43"/>
    </row>
    <row r="255" spans="1:1">
      <c r="A255" s="43"/>
    </row>
    <row r="256" spans="1:1">
      <c r="A256" s="43"/>
    </row>
    <row r="257" spans="1:1">
      <c r="A257" s="43"/>
    </row>
    <row r="258" spans="1:1">
      <c r="A258" s="43"/>
    </row>
  </sheetData>
  <dataValidations disablePrompts="1" count="1">
    <dataValidation type="list" allowBlank="1" showInputMessage="1" showErrorMessage="1" sqref="A4" xr:uid="{00000000-0002-0000-0200-000000000000}">
      <formula1>#REF!</formula1>
    </dataValidation>
  </dataValidations>
  <pageMargins left="0.7" right="0.7" top="0.75" bottom="0.75" header="0.3" footer="0.3"/>
  <pageSetup paperSize="9" orientation="portrait" verticalDpi="1200" r:id="rId1"/>
  <headerFooter>
    <oddFooter>&amp;L&amp;"Arial,Regular"&amp;8&lt;&lt;footer&gt;&gt;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view="pageLayout" zoomScaleNormal="100" workbookViewId="0">
      <selection sqref="A1:XFD1048576"/>
    </sheetView>
  </sheetViews>
  <sheetFormatPr defaultColWidth="8.85546875" defaultRowHeight="14.1"/>
  <cols>
    <col min="1" max="1" width="24.5703125" style="4" customWidth="1"/>
    <col min="2" max="2" width="51.7109375" style="4" customWidth="1"/>
    <col min="3" max="3" width="10.7109375" style="4" customWidth="1"/>
    <col min="4" max="5" width="8.85546875" style="4"/>
    <col min="6" max="6" width="11.42578125" style="4" customWidth="1"/>
    <col min="7" max="16384" width="8.85546875" style="4"/>
  </cols>
  <sheetData>
    <row r="1" spans="1:6" ht="20.100000000000001">
      <c r="A1" s="106" t="s">
        <v>157</v>
      </c>
      <c r="B1" s="106"/>
      <c r="C1" s="106"/>
      <c r="D1" s="106"/>
      <c r="E1" s="106"/>
      <c r="F1" s="106"/>
    </row>
    <row r="2" spans="1:6" ht="15" customHeight="1">
      <c r="A2" s="13"/>
      <c r="B2" s="13"/>
      <c r="C2" s="13"/>
      <c r="D2" s="106"/>
      <c r="E2" s="106"/>
      <c r="F2" s="106"/>
    </row>
    <row r="3" spans="1:6" ht="29.45" customHeight="1">
      <c r="A3" s="156" t="str">
        <f>'Audit information'!H15</f>
        <v>Thank you for selecting &lt;&lt;Audit body&gt;&gt; for the provision of audit services. Please refer to the following information regarding your audit.</v>
      </c>
      <c r="B3" s="156"/>
      <c r="C3" s="156"/>
      <c r="D3" s="106"/>
      <c r="E3" s="106"/>
      <c r="F3" s="106"/>
    </row>
    <row r="4" spans="1:6">
      <c r="A4" s="38"/>
      <c r="B4" s="38"/>
      <c r="C4" s="38"/>
    </row>
    <row r="5" spans="1:6" ht="21.6" customHeight="1">
      <c r="A5" s="44" t="s">
        <v>131</v>
      </c>
      <c r="B5" s="142" t="str">
        <f>'Audit information'!B2</f>
        <v>&lt;&lt;Auditee&gt;&gt;</v>
      </c>
      <c r="C5" s="142"/>
    </row>
    <row r="6" spans="1:6" ht="21.6" customHeight="1">
      <c r="A6" s="44" t="s">
        <v>158</v>
      </c>
      <c r="B6" s="142" t="str">
        <f>'Audit information'!B18</f>
        <v>&lt;&lt;Audit client&gt;&gt;</v>
      </c>
      <c r="C6" s="142"/>
    </row>
    <row r="7" spans="1:6" ht="35.450000000000003" customHeight="1">
      <c r="A7" s="44" t="s">
        <v>134</v>
      </c>
      <c r="B7" s="142" t="str">
        <f>'Audit information'!B15</f>
        <v>To determine the capablity of the management system to meet the audit criteria, and to identify areas of potential improvement.</v>
      </c>
      <c r="C7" s="142"/>
    </row>
    <row r="8" spans="1:6" ht="21.6" customHeight="1">
      <c r="A8" s="44" t="s">
        <v>135</v>
      </c>
      <c r="B8" s="142" t="str">
        <f>'Audit information'!B16</f>
        <v>&lt;&lt;Audit scope&gt;&gt;</v>
      </c>
      <c r="C8" s="142"/>
    </row>
    <row r="9" spans="1:6" ht="21.6" customHeight="1">
      <c r="A9" s="44" t="s">
        <v>136</v>
      </c>
      <c r="B9" s="142" t="str">
        <f>'Audit information'!B17</f>
        <v>&lt;&lt;Audit criteria&gt;&gt;</v>
      </c>
      <c r="C9" s="142"/>
    </row>
    <row r="10" spans="1:6" ht="21.6" customHeight="1">
      <c r="A10" s="44" t="str">
        <f>IF('Audit information'!B3=1,"Audit date:","Audit dates:")</f>
        <v>Audit dates:</v>
      </c>
      <c r="B10" s="142" t="str">
        <f>IFERROR(IF('Audit information'!B3=1,TEXT('Audit information'!B4,"DD/MM/YYYY"),(TEXT('Audit information'!B4,"DD/MM/YYYY")&amp;" to "&amp;(TEXT('Audit information'!B5,"DD/MM/YYYY")))),"&lt;&lt;Audit date&gt;&gt;")</f>
        <v>&lt;&lt;Audit date&gt;&gt;</v>
      </c>
      <c r="C10" s="142"/>
    </row>
    <row r="11" spans="1:6" ht="21.6" customHeight="1">
      <c r="A11" s="44"/>
      <c r="B11" s="160" t="s">
        <v>159</v>
      </c>
      <c r="C11" s="160"/>
    </row>
    <row r="12" spans="1:6" ht="21.6" customHeight="1">
      <c r="A12" s="44" t="s">
        <v>139</v>
      </c>
      <c r="B12" s="142" t="str">
        <f>'Audit information'!B19</f>
        <v>&lt;&lt;Main location&gt;&gt;</v>
      </c>
      <c r="C12" s="142"/>
    </row>
    <row r="13" spans="1:6" ht="21.6" customHeight="1">
      <c r="A13" s="44" t="s">
        <v>160</v>
      </c>
      <c r="B13" s="142" t="b">
        <f>IF('Audit information'!B20=0,"Nil",(IF('Audit information'!B20=1,'Audit information'!B21,(IF('Audit information'!B20=2,(CONCATENATE('Audit information'!B21,'Audit information'!T6,'Audit information'!B22)),(IF('Audit information'!B20=3,(CONCATENATE('Audit information'!B21,'Audit information'!T4,'Audit information'!B22,'Audit information'!T5,'Audit information'!B23)),(IF('Audit information'!B20=4,(CONCATENATE('Audit information'!B21,'Audit information'!T3,'Audit information'!B22,'Audit information'!T4,'Audit information'!B23,'Audit information'!T5,'Audit information'!B24)),(IF('Audit information'!B20=5,(CONCATENATE('Audit information'!B21,'Audit information'!T2,'Audit information'!B22,'Audit information'!T3,'Audit information'!B23,'Audit information'!T4,'Audit information'!B24,'Audit information'!T5,'Audit information'!B25)))))))))))))</f>
        <v>0</v>
      </c>
      <c r="C13" s="142"/>
    </row>
    <row r="14" spans="1:6" ht="21" customHeight="1">
      <c r="A14" s="44" t="str">
        <f>IF('Audit information'!$B$9=0,"Principal auditor:","Lead auditor:")</f>
        <v>Lead auditor:</v>
      </c>
      <c r="B14" s="142" t="str">
        <f>'Audit information'!B8</f>
        <v>&lt;&lt;Lead auditor&gt;&gt;</v>
      </c>
      <c r="C14" s="142"/>
    </row>
    <row r="15" spans="1:6" ht="21.6" customHeight="1">
      <c r="A15" s="44" t="s">
        <v>138</v>
      </c>
      <c r="B15" s="142" t="b">
        <f>IF('Audit information'!B9=0,"Nil",(IF('Audit information'!B9=1,'Audit information'!B10,(IF('Audit information'!B9=2,(CONCATENATE('Audit information'!B10,'Audit information'!T6,'Audit information'!B11)),(IF('Audit information'!B9=3,(CONCATENATE('Audit information'!B10,'Audit information'!T4,'Audit information'!B11,'Audit information'!T5,'Audit information'!B12)),(IF('Audit information'!B9=4,(CONCATENATE('Audit information'!B10,'Audit information'!T3,'Audit information'!B11,'Audit information'!T4,'Audit information'!B12,'Audit information'!T5,'Audit information'!B13)),(IF('Audit information'!B9=5,(CONCATENATE('Audit information'!B10,'Audit information'!T2,'Audit information'!B11,'Audit information'!T3,'Audit information'!B12,'Audit information'!T4,'Audit information'!B13,'Audit information'!T5,'Audit information'!B14)))))))))))))</f>
        <v>0</v>
      </c>
      <c r="C15" s="142"/>
    </row>
    <row r="16" spans="1:6" ht="21.6" customHeight="1">
      <c r="A16" s="44" t="s">
        <v>161</v>
      </c>
      <c r="B16" s="142" t="str">
        <f>'Audit information'!B6</f>
        <v>&lt;&lt;auditee contact&gt;&gt;</v>
      </c>
      <c r="C16" s="142"/>
    </row>
    <row r="17" spans="1:3" ht="21.6" customHeight="1">
      <c r="A17" s="45"/>
      <c r="B17" s="37"/>
      <c r="C17" s="37"/>
    </row>
    <row r="18" spans="1:3" ht="13.9" customHeight="1">
      <c r="A18" s="44" t="s">
        <v>162</v>
      </c>
      <c r="B18" s="46"/>
      <c r="C18" s="46"/>
    </row>
    <row r="19" spans="1:3" ht="55.9" customHeight="1">
      <c r="A19" s="157" t="s">
        <v>163</v>
      </c>
      <c r="B19" s="157"/>
      <c r="C19" s="157"/>
    </row>
    <row r="20" spans="1:3">
      <c r="A20" s="99" t="s">
        <v>164</v>
      </c>
      <c r="B20" s="162" t="str">
        <f>IF(A21="&lt;&lt;PPE; induction requirements; environmental concerns; cultural, religious, social, or dress requirements&gt;&gt;","UPDATE BELOW FIELD","")</f>
        <v>UPDATE BELOW FIELD</v>
      </c>
      <c r="C20" s="162"/>
    </row>
    <row r="21" spans="1:3" ht="55.15" customHeight="1">
      <c r="A21" s="157" t="s">
        <v>165</v>
      </c>
      <c r="B21" s="157"/>
      <c r="C21" s="157"/>
    </row>
    <row r="22" spans="1:3" ht="21.6" customHeight="1">
      <c r="A22" s="99" t="s">
        <v>152</v>
      </c>
      <c r="B22" s="144"/>
      <c r="C22" s="144"/>
    </row>
    <row r="23" spans="1:3" ht="21.6" customHeight="1">
      <c r="A23" s="99" t="s">
        <v>153</v>
      </c>
      <c r="B23" s="161" t="s">
        <v>16</v>
      </c>
      <c r="C23" s="161"/>
    </row>
    <row r="24" spans="1:3">
      <c r="A24" s="41"/>
      <c r="B24" s="41"/>
      <c r="C24" s="41"/>
    </row>
    <row r="25" spans="1:3" ht="55.15" customHeight="1">
      <c r="A25" s="158" t="s">
        <v>166</v>
      </c>
      <c r="B25" s="159"/>
      <c r="C25" s="159"/>
    </row>
    <row r="26" spans="1:3">
      <c r="A26" s="41"/>
      <c r="B26" s="41"/>
      <c r="C26" s="41"/>
    </row>
    <row r="27" spans="1:3">
      <c r="A27" s="158" t="s">
        <v>167</v>
      </c>
      <c r="B27" s="159"/>
      <c r="C27" s="159"/>
    </row>
  </sheetData>
  <mergeCells count="20">
    <mergeCell ref="A27:C27"/>
    <mergeCell ref="B10:C10"/>
    <mergeCell ref="B11:C11"/>
    <mergeCell ref="B12:C12"/>
    <mergeCell ref="B13:C13"/>
    <mergeCell ref="B14:C14"/>
    <mergeCell ref="B15:C15"/>
    <mergeCell ref="B16:C16"/>
    <mergeCell ref="B23:C23"/>
    <mergeCell ref="B22:C22"/>
    <mergeCell ref="B20:C20"/>
    <mergeCell ref="B6:C6"/>
    <mergeCell ref="A3:C3"/>
    <mergeCell ref="A19:C19"/>
    <mergeCell ref="A21:C21"/>
    <mergeCell ref="A25:C25"/>
    <mergeCell ref="B5:C5"/>
    <mergeCell ref="B7:C7"/>
    <mergeCell ref="B8:C8"/>
    <mergeCell ref="B9:C9"/>
  </mergeCells>
  <conditionalFormatting sqref="A3:C3 B5:C5 B6 B12:C12 B14:C14 B16:C16">
    <cfRule type="containsText" dxfId="154" priority="7" operator="containsText" text="&lt;&lt;">
      <formula>NOT(ISERROR(SEARCH("&lt;&lt;",A3)))</formula>
    </cfRule>
  </conditionalFormatting>
  <conditionalFormatting sqref="A21:C21">
    <cfRule type="containsText" dxfId="153" priority="4" operator="containsText" text="&lt;&lt;">
      <formula>NOT(ISERROR(SEARCH("&lt;&lt;",A21)))</formula>
    </cfRule>
  </conditionalFormatting>
  <conditionalFormatting sqref="B20">
    <cfRule type="containsText" dxfId="152" priority="8" operator="containsText" text="UPDATE BELOW FIELD">
      <formula>NOT(ISERROR(SEARCH("UPDATE BELOW FIELD",B20)))</formula>
    </cfRule>
  </conditionalFormatting>
  <conditionalFormatting sqref="B22">
    <cfRule type="containsBlanks" dxfId="151" priority="3">
      <formula>LEN(TRIM(B22))=0</formula>
    </cfRule>
  </conditionalFormatting>
  <conditionalFormatting sqref="B23">
    <cfRule type="containsText" dxfId="150" priority="2" operator="containsText" text="dd/mm/yyyy">
      <formula>NOT(ISERROR(SEARCH("dd/mm/yyyy",B23)))</formula>
    </cfRule>
  </conditionalFormatting>
  <conditionalFormatting sqref="B8:C10">
    <cfRule type="containsText" dxfId="149" priority="1" operator="containsText" text="&lt;&lt;">
      <formula>NOT(ISERROR(SEARCH("&lt;&lt;",B8)))</formula>
    </cfRule>
  </conditionalFormatting>
  <conditionalFormatting sqref="B13:C13 B15:C15">
    <cfRule type="containsText" dxfId="148" priority="5" operator="containsText" text="false">
      <formula>NOT(ISERROR(SEARCH("false",B13)))</formula>
    </cfRule>
  </conditionalFormatting>
  <pageMargins left="0.7" right="0.7" top="0.75" bottom="0.75" header="0.3" footer="0.3"/>
  <pageSetup paperSize="9" orientation="portrait" verticalDpi="1200" r:id="rId1"/>
  <headerFooter>
    <oddFooter>&amp;L&amp;"Arial,Regular"&amp;8&lt;&lt;footer&gt;&gt;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39"/>
  <sheetViews>
    <sheetView view="pageLayout" topLeftCell="A217" zoomScaleNormal="100" workbookViewId="0">
      <selection activeCell="A32" sqref="A32:XFD32"/>
    </sheetView>
  </sheetViews>
  <sheetFormatPr defaultColWidth="8.85546875" defaultRowHeight="14.1"/>
  <cols>
    <col min="1" max="1" width="8.85546875" style="5" customWidth="1"/>
    <col min="2" max="4" width="19.140625" style="5" customWidth="1"/>
    <col min="5" max="5" width="19.140625" style="5" bestFit="1" customWidth="1"/>
    <col min="6" max="6" width="8.85546875" style="5"/>
    <col min="7" max="10" width="19.28515625" style="5" customWidth="1"/>
    <col min="11" max="11" width="8.85546875" style="5"/>
    <col min="12" max="15" width="19.140625" style="5" customWidth="1"/>
    <col min="16" max="16384" width="8.85546875" style="5"/>
  </cols>
  <sheetData>
    <row r="1" spans="1:15" ht="20.100000000000001">
      <c r="A1" s="141" t="str">
        <f>IF('Audit information'!B9&gt;0,(IF('Audit information'!B3=1,"Audit Timetable","Audit Timetable - Day 1")),"USE OTHER AUDIT TIMETABLE TEMPLATE")</f>
        <v>Audit Timetable - Day 1</v>
      </c>
      <c r="B1" s="141"/>
      <c r="C1" s="141"/>
      <c r="D1" s="141"/>
      <c r="E1" s="141"/>
    </row>
    <row r="2" spans="1:15" s="48" customFormat="1" ht="21" customHeight="1" thickBot="1">
      <c r="A2" s="108"/>
      <c r="B2" s="109"/>
      <c r="C2" s="109"/>
      <c r="D2" s="77" t="s">
        <v>168</v>
      </c>
      <c r="E2" s="47" t="str">
        <f>'Audit information'!$B$4</f>
        <v>DD/MM/YYYY</v>
      </c>
      <c r="F2" s="109"/>
      <c r="G2" s="77" t="s">
        <v>168</v>
      </c>
      <c r="H2" s="47" t="str">
        <f>'Audit information'!$B$4</f>
        <v>DD/MM/YYYY</v>
      </c>
      <c r="K2" s="109"/>
      <c r="L2" s="77" t="s">
        <v>168</v>
      </c>
      <c r="M2" s="47" t="str">
        <f>'Audit information'!$B$4</f>
        <v>DD/MM/YYYY</v>
      </c>
    </row>
    <row r="3" spans="1:15" s="49" customFormat="1" ht="22.9" customHeight="1">
      <c r="A3" s="100"/>
      <c r="B3" s="50" t="s">
        <v>169</v>
      </c>
      <c r="C3" s="102" t="str">
        <f>'Audit information'!$B$8</f>
        <v>&lt;&lt;Lead auditor&gt;&gt;</v>
      </c>
      <c r="D3" s="51" t="s">
        <v>170</v>
      </c>
      <c r="E3" s="103" t="str">
        <f>IF('Audit information'!$B$9&gt;0,'Audit information'!$B$10,"USE OTHER TIMETABLE TEMPLATE")</f>
        <v>&lt;&lt;Team member 1&gt;&gt;</v>
      </c>
      <c r="F3" s="100"/>
      <c r="G3" s="50" t="str">
        <f>IF('Audit information'!$B$9&gt;1,"Team member:","DELETE COLUMN")</f>
        <v>Team member:</v>
      </c>
      <c r="H3" s="102" t="str">
        <f>IF('Audit information'!$B$9&gt;1,'Audit information'!$B$11,"DELETE COLUMN")</f>
        <v>&lt;&lt;Team member 2&gt;&gt;</v>
      </c>
      <c r="I3" s="51" t="str">
        <f>IF('Audit information'!$B$9&gt;2,"Team member:","DELETE COLUMN")</f>
        <v>Team member:</v>
      </c>
      <c r="J3" s="103" t="str">
        <f>IF('Audit information'!$B$9&gt;2,'Audit information'!$B$12,"DELETE COLUMN")</f>
        <v>&lt;&lt;Team member 3&gt;&gt;</v>
      </c>
      <c r="K3" s="100"/>
      <c r="L3" s="50" t="str">
        <f>IF('Audit information'!$B$9&gt;3,"Team member:","DELETE COLUMN")</f>
        <v>Team member:</v>
      </c>
      <c r="M3" s="102" t="str">
        <f>IF('Audit information'!$B$9&gt;3,'Audit information'!$B$13,"DELETE COLUMN")</f>
        <v>&lt;&lt;Team member 4&gt;&gt;</v>
      </c>
      <c r="N3" s="51" t="str">
        <f>IF('Audit information'!$B$9&gt;4,"Team member:","DELETE COLUMN")</f>
        <v>Team member:</v>
      </c>
      <c r="O3" s="103" t="str">
        <f>IF('Audit information'!$B$9&gt;4,'Audit information'!$B$14,"DELETE COLUMN")</f>
        <v>&lt;&lt;Team member 5&gt;&gt;</v>
      </c>
    </row>
    <row r="4" spans="1:15" s="49" customFormat="1" ht="25.9" customHeight="1" thickBot="1">
      <c r="A4" s="100"/>
      <c r="B4" s="52" t="s">
        <v>171</v>
      </c>
      <c r="C4" s="53" t="s">
        <v>172</v>
      </c>
      <c r="D4" s="54" t="s">
        <v>171</v>
      </c>
      <c r="E4" s="55" t="s">
        <v>172</v>
      </c>
      <c r="F4" s="100"/>
      <c r="G4" s="52" t="s">
        <v>171</v>
      </c>
      <c r="H4" s="53" t="s">
        <v>172</v>
      </c>
      <c r="I4" s="54" t="s">
        <v>171</v>
      </c>
      <c r="J4" s="55" t="s">
        <v>172</v>
      </c>
      <c r="K4" s="100"/>
      <c r="L4" s="52" t="s">
        <v>171</v>
      </c>
      <c r="M4" s="53" t="s">
        <v>172</v>
      </c>
      <c r="N4" s="54" t="s">
        <v>171</v>
      </c>
      <c r="O4" s="55" t="s">
        <v>172</v>
      </c>
    </row>
    <row r="5" spans="1:15" s="49" customFormat="1" ht="25.9" customHeight="1">
      <c r="A5" s="56">
        <v>0.33333333333333331</v>
      </c>
      <c r="B5" s="57"/>
      <c r="C5" s="58"/>
      <c r="D5" s="59"/>
      <c r="E5" s="60"/>
      <c r="F5" s="56">
        <v>0.33333333333333331</v>
      </c>
      <c r="G5" s="57"/>
      <c r="H5" s="58"/>
      <c r="I5" s="59"/>
      <c r="J5" s="60"/>
      <c r="K5" s="56">
        <v>0.33333333333333331</v>
      </c>
      <c r="L5" s="57"/>
      <c r="M5" s="58"/>
      <c r="N5" s="59"/>
      <c r="O5" s="60"/>
    </row>
    <row r="6" spans="1:15" s="49" customFormat="1" ht="25.9" customHeight="1">
      <c r="A6" s="61">
        <v>0.35416666666666669</v>
      </c>
      <c r="B6" s="62"/>
      <c r="C6" s="63"/>
      <c r="D6" s="64"/>
      <c r="E6" s="65"/>
      <c r="F6" s="61">
        <v>0.35416666666666669</v>
      </c>
      <c r="G6" s="62"/>
      <c r="H6" s="63"/>
      <c r="I6" s="64"/>
      <c r="J6" s="65"/>
      <c r="K6" s="61">
        <v>0.35416666666666669</v>
      </c>
      <c r="L6" s="62"/>
      <c r="M6" s="63"/>
      <c r="N6" s="64"/>
      <c r="O6" s="65"/>
    </row>
    <row r="7" spans="1:15" s="49" customFormat="1" ht="25.9" customHeight="1">
      <c r="A7" s="61">
        <v>0.375</v>
      </c>
      <c r="B7" s="62"/>
      <c r="C7" s="63"/>
      <c r="D7" s="64"/>
      <c r="E7" s="65"/>
      <c r="F7" s="61">
        <v>0.375</v>
      </c>
      <c r="G7" s="62"/>
      <c r="H7" s="63"/>
      <c r="I7" s="64"/>
      <c r="J7" s="65"/>
      <c r="K7" s="61">
        <v>0.375</v>
      </c>
      <c r="L7" s="62"/>
      <c r="M7" s="63"/>
      <c r="N7" s="64"/>
      <c r="O7" s="65"/>
    </row>
    <row r="8" spans="1:15" s="49" customFormat="1" ht="25.9" customHeight="1">
      <c r="A8" s="61">
        <v>0.39583333333333331</v>
      </c>
      <c r="B8" s="62"/>
      <c r="C8" s="63"/>
      <c r="D8" s="64"/>
      <c r="E8" s="65"/>
      <c r="F8" s="61">
        <v>0.39583333333333331</v>
      </c>
      <c r="G8" s="62"/>
      <c r="H8" s="63"/>
      <c r="I8" s="64"/>
      <c r="J8" s="65"/>
      <c r="K8" s="61">
        <v>0.39583333333333331</v>
      </c>
      <c r="L8" s="62"/>
      <c r="M8" s="63"/>
      <c r="N8" s="64"/>
      <c r="O8" s="65"/>
    </row>
    <row r="9" spans="1:15" s="49" customFormat="1" ht="25.9" customHeight="1">
      <c r="A9" s="61">
        <v>0.41666666666666702</v>
      </c>
      <c r="B9" s="62"/>
      <c r="C9" s="63"/>
      <c r="D9" s="64"/>
      <c r="E9" s="65"/>
      <c r="F9" s="61">
        <v>0.41666666666666702</v>
      </c>
      <c r="G9" s="62"/>
      <c r="H9" s="63"/>
      <c r="I9" s="64"/>
      <c r="J9" s="65"/>
      <c r="K9" s="61">
        <v>0.41666666666666702</v>
      </c>
      <c r="L9" s="62"/>
      <c r="M9" s="63"/>
      <c r="N9" s="64"/>
      <c r="O9" s="65"/>
    </row>
    <row r="10" spans="1:15" s="49" customFormat="1" ht="25.9" customHeight="1">
      <c r="A10" s="61">
        <v>0.4375</v>
      </c>
      <c r="B10" s="62"/>
      <c r="C10" s="63"/>
      <c r="D10" s="64"/>
      <c r="E10" s="65"/>
      <c r="F10" s="61">
        <v>0.4375</v>
      </c>
      <c r="G10" s="62"/>
      <c r="H10" s="63"/>
      <c r="I10" s="64"/>
      <c r="J10" s="65"/>
      <c r="K10" s="61">
        <v>0.4375</v>
      </c>
      <c r="L10" s="62"/>
      <c r="M10" s="63"/>
      <c r="N10" s="64"/>
      <c r="O10" s="65"/>
    </row>
    <row r="11" spans="1:15" s="49" customFormat="1" ht="25.9" customHeight="1">
      <c r="A11" s="61">
        <v>0.45833333333333298</v>
      </c>
      <c r="B11" s="62"/>
      <c r="C11" s="63"/>
      <c r="D11" s="64"/>
      <c r="E11" s="65"/>
      <c r="F11" s="61">
        <v>0.45833333333333298</v>
      </c>
      <c r="G11" s="62"/>
      <c r="H11" s="63"/>
      <c r="I11" s="64"/>
      <c r="J11" s="65"/>
      <c r="K11" s="61">
        <v>0.45833333333333298</v>
      </c>
      <c r="L11" s="62"/>
      <c r="M11" s="63"/>
      <c r="N11" s="64"/>
      <c r="O11" s="65"/>
    </row>
    <row r="12" spans="1:15" s="49" customFormat="1" ht="25.9" customHeight="1">
      <c r="A12" s="61">
        <v>0.47916666666666702</v>
      </c>
      <c r="B12" s="62"/>
      <c r="C12" s="63"/>
      <c r="D12" s="64"/>
      <c r="E12" s="65"/>
      <c r="F12" s="61">
        <v>0.47916666666666702</v>
      </c>
      <c r="G12" s="62"/>
      <c r="H12" s="63"/>
      <c r="I12" s="64"/>
      <c r="J12" s="65"/>
      <c r="K12" s="61">
        <v>0.47916666666666702</v>
      </c>
      <c r="L12" s="62"/>
      <c r="M12" s="63"/>
      <c r="N12" s="64"/>
      <c r="O12" s="65"/>
    </row>
    <row r="13" spans="1:15" s="49" customFormat="1" ht="25.9" customHeight="1">
      <c r="A13" s="61">
        <v>0.5</v>
      </c>
      <c r="B13" s="62"/>
      <c r="C13" s="63"/>
      <c r="D13" s="64"/>
      <c r="E13" s="65"/>
      <c r="F13" s="61">
        <v>0.5</v>
      </c>
      <c r="G13" s="62"/>
      <c r="H13" s="63"/>
      <c r="I13" s="64"/>
      <c r="J13" s="65"/>
      <c r="K13" s="61">
        <v>0.5</v>
      </c>
      <c r="L13" s="62"/>
      <c r="M13" s="63"/>
      <c r="N13" s="64"/>
      <c r="O13" s="65"/>
    </row>
    <row r="14" spans="1:15" s="49" customFormat="1" ht="25.9" customHeight="1">
      <c r="A14" s="61">
        <v>0.52083333333333304</v>
      </c>
      <c r="B14" s="62"/>
      <c r="C14" s="63"/>
      <c r="D14" s="64"/>
      <c r="E14" s="65"/>
      <c r="F14" s="61">
        <v>0.52083333333333304</v>
      </c>
      <c r="G14" s="62"/>
      <c r="H14" s="63"/>
      <c r="I14" s="64"/>
      <c r="J14" s="65"/>
      <c r="K14" s="61">
        <v>0.52083333333333304</v>
      </c>
      <c r="L14" s="62"/>
      <c r="M14" s="63"/>
      <c r="N14" s="64"/>
      <c r="O14" s="65"/>
    </row>
    <row r="15" spans="1:15" s="49" customFormat="1" ht="25.9" customHeight="1">
      <c r="A15" s="61">
        <v>0.54166666666666696</v>
      </c>
      <c r="B15" s="62"/>
      <c r="C15" s="63"/>
      <c r="D15" s="64"/>
      <c r="E15" s="65"/>
      <c r="F15" s="61">
        <v>0.54166666666666696</v>
      </c>
      <c r="G15" s="62"/>
      <c r="H15" s="63"/>
      <c r="I15" s="64"/>
      <c r="J15" s="65"/>
      <c r="K15" s="61">
        <v>0.54166666666666696</v>
      </c>
      <c r="L15" s="62"/>
      <c r="M15" s="63"/>
      <c r="N15" s="64"/>
      <c r="O15" s="65"/>
    </row>
    <row r="16" spans="1:15" s="49" customFormat="1" ht="25.9" customHeight="1">
      <c r="A16" s="61">
        <v>0.5625</v>
      </c>
      <c r="B16" s="62"/>
      <c r="C16" s="63"/>
      <c r="D16" s="64"/>
      <c r="E16" s="65"/>
      <c r="F16" s="61">
        <v>0.5625</v>
      </c>
      <c r="G16" s="62"/>
      <c r="H16" s="63"/>
      <c r="I16" s="64"/>
      <c r="J16" s="65"/>
      <c r="K16" s="61">
        <v>0.5625</v>
      </c>
      <c r="L16" s="62"/>
      <c r="M16" s="63"/>
      <c r="N16" s="64"/>
      <c r="O16" s="65"/>
    </row>
    <row r="17" spans="1:15" s="49" customFormat="1" ht="25.9" customHeight="1">
      <c r="A17" s="61">
        <v>0.58333333333333304</v>
      </c>
      <c r="B17" s="62"/>
      <c r="C17" s="63"/>
      <c r="D17" s="64"/>
      <c r="E17" s="65"/>
      <c r="F17" s="61">
        <v>0.58333333333333304</v>
      </c>
      <c r="G17" s="62"/>
      <c r="H17" s="63"/>
      <c r="I17" s="64"/>
      <c r="J17" s="65"/>
      <c r="K17" s="61">
        <v>0.58333333333333304</v>
      </c>
      <c r="L17" s="62"/>
      <c r="M17" s="63"/>
      <c r="N17" s="64"/>
      <c r="O17" s="65"/>
    </row>
    <row r="18" spans="1:15" s="49" customFormat="1" ht="25.9" customHeight="1">
      <c r="A18" s="61">
        <v>0.60416666666666696</v>
      </c>
      <c r="B18" s="62"/>
      <c r="C18" s="63"/>
      <c r="D18" s="64"/>
      <c r="E18" s="65"/>
      <c r="F18" s="61">
        <v>0.60416666666666696</v>
      </c>
      <c r="G18" s="62"/>
      <c r="H18" s="63"/>
      <c r="I18" s="64"/>
      <c r="J18" s="65"/>
      <c r="K18" s="61">
        <v>0.60416666666666696</v>
      </c>
      <c r="L18" s="62"/>
      <c r="M18" s="63"/>
      <c r="N18" s="64"/>
      <c r="O18" s="65"/>
    </row>
    <row r="19" spans="1:15" s="49" customFormat="1" ht="25.9" customHeight="1">
      <c r="A19" s="61">
        <v>0.625</v>
      </c>
      <c r="B19" s="62"/>
      <c r="C19" s="63"/>
      <c r="D19" s="64"/>
      <c r="E19" s="65"/>
      <c r="F19" s="61">
        <v>0.625</v>
      </c>
      <c r="G19" s="62"/>
      <c r="H19" s="63"/>
      <c r="I19" s="64"/>
      <c r="J19" s="65"/>
      <c r="K19" s="61">
        <v>0.625</v>
      </c>
      <c r="L19" s="62"/>
      <c r="M19" s="63"/>
      <c r="N19" s="64"/>
      <c r="O19" s="65"/>
    </row>
    <row r="20" spans="1:15" s="49" customFormat="1" ht="25.9" customHeight="1">
      <c r="A20" s="61">
        <v>0.64583333333333404</v>
      </c>
      <c r="B20" s="62"/>
      <c r="C20" s="63"/>
      <c r="D20" s="64"/>
      <c r="E20" s="65"/>
      <c r="F20" s="61">
        <v>0.64583333333333404</v>
      </c>
      <c r="G20" s="62"/>
      <c r="H20" s="63"/>
      <c r="I20" s="64"/>
      <c r="J20" s="65"/>
      <c r="K20" s="61">
        <v>0.64583333333333404</v>
      </c>
      <c r="L20" s="62"/>
      <c r="M20" s="63"/>
      <c r="N20" s="64"/>
      <c r="O20" s="65"/>
    </row>
    <row r="21" spans="1:15" s="49" customFormat="1" ht="25.9" customHeight="1">
      <c r="A21" s="61">
        <v>0.66666666666666696</v>
      </c>
      <c r="B21" s="62"/>
      <c r="C21" s="63"/>
      <c r="D21" s="64"/>
      <c r="E21" s="65"/>
      <c r="F21" s="61">
        <v>0.66666666666666696</v>
      </c>
      <c r="G21" s="62"/>
      <c r="H21" s="63"/>
      <c r="I21" s="64"/>
      <c r="J21" s="65"/>
      <c r="K21" s="61">
        <v>0.66666666666666696</v>
      </c>
      <c r="L21" s="62"/>
      <c r="M21" s="63"/>
      <c r="N21" s="64"/>
      <c r="O21" s="65"/>
    </row>
    <row r="22" spans="1:15" s="49" customFormat="1" ht="25.9" customHeight="1">
      <c r="A22" s="61">
        <v>0.6875</v>
      </c>
      <c r="B22" s="62"/>
      <c r="C22" s="63"/>
      <c r="D22" s="64"/>
      <c r="E22" s="65"/>
      <c r="F22" s="61">
        <v>0.6875</v>
      </c>
      <c r="G22" s="62"/>
      <c r="H22" s="63"/>
      <c r="I22" s="64"/>
      <c r="J22" s="65"/>
      <c r="K22" s="61">
        <v>0.6875</v>
      </c>
      <c r="L22" s="62"/>
      <c r="M22" s="63"/>
      <c r="N22" s="64"/>
      <c r="O22" s="65"/>
    </row>
    <row r="23" spans="1:15" s="49" customFormat="1" ht="25.9" customHeight="1" thickBot="1">
      <c r="A23" s="66">
        <v>0.70833333333333404</v>
      </c>
      <c r="B23" s="67"/>
      <c r="C23" s="68"/>
      <c r="D23" s="69"/>
      <c r="E23" s="70"/>
      <c r="F23" s="66">
        <v>0.70833333333333404</v>
      </c>
      <c r="G23" s="67"/>
      <c r="H23" s="68"/>
      <c r="I23" s="69"/>
      <c r="J23" s="70"/>
      <c r="K23" s="66">
        <v>0.70833333333333404</v>
      </c>
      <c r="L23" s="67"/>
      <c r="M23" s="68"/>
      <c r="N23" s="69"/>
      <c r="O23" s="70"/>
    </row>
    <row r="35" spans="1:15" ht="20.100000000000001">
      <c r="A35" s="141" t="str">
        <f>IF('Audit information'!$B$3&gt;1,"Audit Timetable - Day 2","DELETE TABLE")</f>
        <v>Audit Timetable - Day 2</v>
      </c>
      <c r="B35" s="141"/>
      <c r="C35" s="141"/>
      <c r="D35" s="141"/>
      <c r="E35" s="141"/>
    </row>
    <row r="36" spans="1:15" s="48" customFormat="1" ht="20.45" thickBot="1">
      <c r="A36" s="108"/>
      <c r="B36" s="109"/>
      <c r="C36" s="109"/>
      <c r="D36" s="77" t="s">
        <v>168</v>
      </c>
      <c r="E36" s="47" t="e">
        <f>IF('Audit information'!$B$3&gt;1,'Audit information'!$B$4+1,"DELETE TABLE")</f>
        <v>#VALUE!</v>
      </c>
      <c r="F36" s="109"/>
      <c r="G36" s="77" t="s">
        <v>168</v>
      </c>
      <c r="H36" s="47" t="e">
        <f>IF('Audit information'!$B$3&gt;1,'Audit information'!$B$4+1,"DELETE TABLE")</f>
        <v>#VALUE!</v>
      </c>
      <c r="I36" s="109"/>
      <c r="J36" s="109"/>
      <c r="K36" s="109"/>
      <c r="L36" s="77" t="s">
        <v>168</v>
      </c>
      <c r="M36" s="47" t="e">
        <f>IF('Audit information'!$B$3&gt;1,'Audit information'!$B$4+1,"DELETE TABLE")</f>
        <v>#VALUE!</v>
      </c>
    </row>
    <row r="37" spans="1:15" s="49" customFormat="1" ht="25.9" customHeight="1">
      <c r="A37" s="100"/>
      <c r="B37" s="50" t="s">
        <v>169</v>
      </c>
      <c r="C37" s="102" t="str">
        <f>'Audit information'!$B$8</f>
        <v>&lt;&lt;Lead auditor&gt;&gt;</v>
      </c>
      <c r="D37" s="51" t="s">
        <v>170</v>
      </c>
      <c r="E37" s="103" t="str">
        <f>'Audit information'!$B$10</f>
        <v>&lt;&lt;Team member 1&gt;&gt;</v>
      </c>
      <c r="F37" s="100"/>
      <c r="G37" s="50" t="str">
        <f>IF('Audit information'!$B$9&gt;1,"Team member:","DELETE COLUMN")</f>
        <v>Team member:</v>
      </c>
      <c r="H37" s="102" t="str">
        <f>IF('Audit information'!$B$9&gt;1,'Audit information'!$B$11,"DELETE COLUMN")</f>
        <v>&lt;&lt;Team member 2&gt;&gt;</v>
      </c>
      <c r="I37" s="51" t="str">
        <f>IF('Audit information'!$B$9&gt;2,"Team member:","DELETE COLUMN")</f>
        <v>Team member:</v>
      </c>
      <c r="J37" s="103" t="str">
        <f>IF('Audit information'!$B$9&gt;2,'Audit information'!$B$12,"DELETE COLUMN")</f>
        <v>&lt;&lt;Team member 3&gt;&gt;</v>
      </c>
      <c r="K37" s="100"/>
      <c r="L37" s="50" t="str">
        <f>IF('Audit information'!$B$9&gt;3,"Team member:","DELETE COLUMN")</f>
        <v>Team member:</v>
      </c>
      <c r="M37" s="102" t="str">
        <f>IF('Audit information'!$B$9&gt;3,'Audit information'!$B$13,"DELETE COLUMN")</f>
        <v>&lt;&lt;Team member 4&gt;&gt;</v>
      </c>
      <c r="N37" s="51" t="str">
        <f>IF('Audit information'!$B$9&gt;4,"Team member:","DELETE COLUMN")</f>
        <v>Team member:</v>
      </c>
      <c r="O37" s="103" t="str">
        <f>IF('Audit information'!$B$9&gt;4,'Audit information'!$B$14,"DELETE COLUMN")</f>
        <v>&lt;&lt;Team member 5&gt;&gt;</v>
      </c>
    </row>
    <row r="38" spans="1:15" s="49" customFormat="1" ht="25.9" customHeight="1" thickBot="1">
      <c r="A38" s="100"/>
      <c r="B38" s="52" t="s">
        <v>171</v>
      </c>
      <c r="C38" s="53" t="s">
        <v>172</v>
      </c>
      <c r="D38" s="54" t="s">
        <v>171</v>
      </c>
      <c r="E38" s="55" t="s">
        <v>172</v>
      </c>
      <c r="F38" s="100"/>
      <c r="G38" s="52" t="s">
        <v>171</v>
      </c>
      <c r="H38" s="53" t="s">
        <v>172</v>
      </c>
      <c r="I38" s="54" t="s">
        <v>171</v>
      </c>
      <c r="J38" s="55" t="s">
        <v>172</v>
      </c>
      <c r="K38" s="100"/>
      <c r="L38" s="52" t="s">
        <v>171</v>
      </c>
      <c r="M38" s="53" t="s">
        <v>172</v>
      </c>
      <c r="N38" s="54" t="s">
        <v>171</v>
      </c>
      <c r="O38" s="55" t="s">
        <v>172</v>
      </c>
    </row>
    <row r="39" spans="1:15" s="49" customFormat="1" ht="25.15" customHeight="1">
      <c r="A39" s="56">
        <v>0.33333333333333331</v>
      </c>
      <c r="B39" s="57"/>
      <c r="C39" s="58"/>
      <c r="D39" s="59"/>
      <c r="E39" s="60"/>
      <c r="F39" s="56">
        <v>0.33333333333333331</v>
      </c>
      <c r="G39" s="57"/>
      <c r="H39" s="58"/>
      <c r="I39" s="59"/>
      <c r="J39" s="60"/>
      <c r="K39" s="56">
        <v>0.33333333333333331</v>
      </c>
      <c r="L39" s="57"/>
      <c r="M39" s="58"/>
      <c r="N39" s="59"/>
      <c r="O39" s="60"/>
    </row>
    <row r="40" spans="1:15" s="49" customFormat="1" ht="25.15" customHeight="1">
      <c r="A40" s="61">
        <v>0.35416666666666669</v>
      </c>
      <c r="B40" s="62"/>
      <c r="C40" s="63"/>
      <c r="D40" s="64"/>
      <c r="E40" s="65"/>
      <c r="F40" s="61">
        <v>0.35416666666666669</v>
      </c>
      <c r="G40" s="62"/>
      <c r="H40" s="63"/>
      <c r="I40" s="64"/>
      <c r="J40" s="65"/>
      <c r="K40" s="61">
        <v>0.35416666666666669</v>
      </c>
      <c r="L40" s="62"/>
      <c r="M40" s="63"/>
      <c r="N40" s="64"/>
      <c r="O40" s="65"/>
    </row>
    <row r="41" spans="1:15" s="49" customFormat="1" ht="25.15" customHeight="1">
      <c r="A41" s="61">
        <v>0.375</v>
      </c>
      <c r="B41" s="62"/>
      <c r="C41" s="63"/>
      <c r="D41" s="64"/>
      <c r="E41" s="65"/>
      <c r="F41" s="61">
        <v>0.375</v>
      </c>
      <c r="G41" s="62"/>
      <c r="H41" s="63"/>
      <c r="I41" s="64"/>
      <c r="J41" s="65"/>
      <c r="K41" s="61">
        <v>0.375</v>
      </c>
      <c r="L41" s="62"/>
      <c r="M41" s="63"/>
      <c r="N41" s="64"/>
      <c r="O41" s="65"/>
    </row>
    <row r="42" spans="1:15" s="49" customFormat="1" ht="25.15" customHeight="1">
      <c r="A42" s="61">
        <v>0.39583333333333331</v>
      </c>
      <c r="B42" s="62"/>
      <c r="C42" s="63"/>
      <c r="D42" s="64"/>
      <c r="E42" s="65"/>
      <c r="F42" s="61">
        <v>0.39583333333333331</v>
      </c>
      <c r="G42" s="62"/>
      <c r="H42" s="63"/>
      <c r="I42" s="64"/>
      <c r="J42" s="65"/>
      <c r="K42" s="61">
        <v>0.39583333333333331</v>
      </c>
      <c r="L42" s="62"/>
      <c r="M42" s="63"/>
      <c r="N42" s="64"/>
      <c r="O42" s="65"/>
    </row>
    <row r="43" spans="1:15" s="49" customFormat="1" ht="25.15" customHeight="1">
      <c r="A43" s="61">
        <v>0.41666666666666702</v>
      </c>
      <c r="B43" s="62"/>
      <c r="C43" s="63"/>
      <c r="D43" s="64"/>
      <c r="E43" s="65"/>
      <c r="F43" s="61">
        <v>0.41666666666666702</v>
      </c>
      <c r="G43" s="62"/>
      <c r="H43" s="63"/>
      <c r="I43" s="64"/>
      <c r="J43" s="65"/>
      <c r="K43" s="61">
        <v>0.41666666666666702</v>
      </c>
      <c r="L43" s="62"/>
      <c r="M43" s="63"/>
      <c r="N43" s="64"/>
      <c r="O43" s="65"/>
    </row>
    <row r="44" spans="1:15" s="49" customFormat="1" ht="25.15" customHeight="1">
      <c r="A44" s="61">
        <v>0.4375</v>
      </c>
      <c r="B44" s="62"/>
      <c r="C44" s="63"/>
      <c r="D44" s="64"/>
      <c r="E44" s="65"/>
      <c r="F44" s="61">
        <v>0.4375</v>
      </c>
      <c r="G44" s="62"/>
      <c r="H44" s="63"/>
      <c r="I44" s="64"/>
      <c r="J44" s="65"/>
      <c r="K44" s="61">
        <v>0.4375</v>
      </c>
      <c r="L44" s="62"/>
      <c r="M44" s="63"/>
      <c r="N44" s="64"/>
      <c r="O44" s="65"/>
    </row>
    <row r="45" spans="1:15" s="49" customFormat="1" ht="25.15" customHeight="1">
      <c r="A45" s="61">
        <v>0.45833333333333298</v>
      </c>
      <c r="B45" s="62"/>
      <c r="C45" s="63"/>
      <c r="D45" s="64"/>
      <c r="E45" s="65"/>
      <c r="F45" s="61">
        <v>0.45833333333333298</v>
      </c>
      <c r="G45" s="62"/>
      <c r="H45" s="63"/>
      <c r="I45" s="64"/>
      <c r="J45" s="65"/>
      <c r="K45" s="61">
        <v>0.45833333333333298</v>
      </c>
      <c r="L45" s="62"/>
      <c r="M45" s="63"/>
      <c r="N45" s="64"/>
      <c r="O45" s="65"/>
    </row>
    <row r="46" spans="1:15" s="49" customFormat="1" ht="25.15" customHeight="1">
      <c r="A46" s="61">
        <v>0.47916666666666702</v>
      </c>
      <c r="B46" s="62"/>
      <c r="C46" s="63"/>
      <c r="D46" s="64"/>
      <c r="E46" s="65"/>
      <c r="F46" s="61">
        <v>0.47916666666666702</v>
      </c>
      <c r="G46" s="62"/>
      <c r="H46" s="63"/>
      <c r="I46" s="64"/>
      <c r="J46" s="65"/>
      <c r="K46" s="61">
        <v>0.47916666666666702</v>
      </c>
      <c r="L46" s="62"/>
      <c r="M46" s="63"/>
      <c r="N46" s="64"/>
      <c r="O46" s="65"/>
    </row>
    <row r="47" spans="1:15" s="49" customFormat="1" ht="25.15" customHeight="1">
      <c r="A47" s="61">
        <v>0.5</v>
      </c>
      <c r="B47" s="62"/>
      <c r="C47" s="63"/>
      <c r="D47" s="64"/>
      <c r="E47" s="65"/>
      <c r="F47" s="61">
        <v>0.5</v>
      </c>
      <c r="G47" s="62"/>
      <c r="H47" s="63"/>
      <c r="I47" s="64"/>
      <c r="J47" s="65"/>
      <c r="K47" s="61">
        <v>0.5</v>
      </c>
      <c r="L47" s="62"/>
      <c r="M47" s="63"/>
      <c r="N47" s="64"/>
      <c r="O47" s="65"/>
    </row>
    <row r="48" spans="1:15" s="49" customFormat="1" ht="25.15" customHeight="1">
      <c r="A48" s="61">
        <v>0.52083333333333304</v>
      </c>
      <c r="B48" s="62"/>
      <c r="C48" s="63"/>
      <c r="D48" s="64"/>
      <c r="E48" s="65"/>
      <c r="F48" s="61">
        <v>0.52083333333333304</v>
      </c>
      <c r="G48" s="62"/>
      <c r="H48" s="63"/>
      <c r="I48" s="64"/>
      <c r="J48" s="65"/>
      <c r="K48" s="61">
        <v>0.52083333333333304</v>
      </c>
      <c r="L48" s="62"/>
      <c r="M48" s="63"/>
      <c r="N48" s="64"/>
      <c r="O48" s="65"/>
    </row>
    <row r="49" spans="1:15" s="49" customFormat="1" ht="25.15" customHeight="1">
      <c r="A49" s="61">
        <v>0.54166666666666696</v>
      </c>
      <c r="B49" s="62"/>
      <c r="C49" s="63"/>
      <c r="D49" s="64"/>
      <c r="E49" s="65"/>
      <c r="F49" s="61">
        <v>0.54166666666666696</v>
      </c>
      <c r="G49" s="62"/>
      <c r="H49" s="63"/>
      <c r="I49" s="64"/>
      <c r="J49" s="65"/>
      <c r="K49" s="61">
        <v>0.54166666666666696</v>
      </c>
      <c r="L49" s="62"/>
      <c r="M49" s="63"/>
      <c r="N49" s="64"/>
      <c r="O49" s="65"/>
    </row>
    <row r="50" spans="1:15" s="49" customFormat="1" ht="25.15" customHeight="1">
      <c r="A50" s="61">
        <v>0.5625</v>
      </c>
      <c r="B50" s="62"/>
      <c r="C50" s="63"/>
      <c r="D50" s="64"/>
      <c r="E50" s="65"/>
      <c r="F50" s="61">
        <v>0.5625</v>
      </c>
      <c r="G50" s="62"/>
      <c r="H50" s="63"/>
      <c r="I50" s="64"/>
      <c r="J50" s="65"/>
      <c r="K50" s="61">
        <v>0.5625</v>
      </c>
      <c r="L50" s="62"/>
      <c r="M50" s="63"/>
      <c r="N50" s="64"/>
      <c r="O50" s="65"/>
    </row>
    <row r="51" spans="1:15" s="49" customFormat="1" ht="25.15" customHeight="1">
      <c r="A51" s="61">
        <v>0.58333333333333304</v>
      </c>
      <c r="B51" s="62"/>
      <c r="C51" s="63"/>
      <c r="D51" s="64"/>
      <c r="E51" s="65"/>
      <c r="F51" s="61">
        <v>0.58333333333333304</v>
      </c>
      <c r="G51" s="62"/>
      <c r="H51" s="63"/>
      <c r="I51" s="64"/>
      <c r="J51" s="65"/>
      <c r="K51" s="61">
        <v>0.58333333333333304</v>
      </c>
      <c r="L51" s="62"/>
      <c r="M51" s="63"/>
      <c r="N51" s="64"/>
      <c r="O51" s="65"/>
    </row>
    <row r="52" spans="1:15" s="49" customFormat="1" ht="25.15" customHeight="1">
      <c r="A52" s="61">
        <v>0.60416666666666696</v>
      </c>
      <c r="B52" s="62"/>
      <c r="C52" s="63"/>
      <c r="D52" s="64"/>
      <c r="E52" s="65"/>
      <c r="F52" s="61">
        <v>0.60416666666666696</v>
      </c>
      <c r="G52" s="62"/>
      <c r="H52" s="63"/>
      <c r="I52" s="64"/>
      <c r="J52" s="65"/>
      <c r="K52" s="61">
        <v>0.60416666666666696</v>
      </c>
      <c r="L52" s="62"/>
      <c r="M52" s="63"/>
      <c r="N52" s="64"/>
      <c r="O52" s="65"/>
    </row>
    <row r="53" spans="1:15" s="49" customFormat="1" ht="25.15" customHeight="1">
      <c r="A53" s="61">
        <v>0.625</v>
      </c>
      <c r="B53" s="62"/>
      <c r="C53" s="63"/>
      <c r="D53" s="64"/>
      <c r="E53" s="65"/>
      <c r="F53" s="61">
        <v>0.625</v>
      </c>
      <c r="G53" s="62"/>
      <c r="H53" s="63"/>
      <c r="I53" s="64"/>
      <c r="J53" s="65"/>
      <c r="K53" s="61">
        <v>0.625</v>
      </c>
      <c r="L53" s="62"/>
      <c r="M53" s="63"/>
      <c r="N53" s="64"/>
      <c r="O53" s="65"/>
    </row>
    <row r="54" spans="1:15" s="49" customFormat="1" ht="25.15" customHeight="1">
      <c r="A54" s="61">
        <v>0.64583333333333404</v>
      </c>
      <c r="B54" s="62"/>
      <c r="C54" s="63"/>
      <c r="D54" s="64"/>
      <c r="E54" s="65"/>
      <c r="F54" s="61">
        <v>0.64583333333333404</v>
      </c>
      <c r="G54" s="62"/>
      <c r="H54" s="63"/>
      <c r="I54" s="64"/>
      <c r="J54" s="65"/>
      <c r="K54" s="61">
        <v>0.64583333333333404</v>
      </c>
      <c r="L54" s="62"/>
      <c r="M54" s="63"/>
      <c r="N54" s="64"/>
      <c r="O54" s="65"/>
    </row>
    <row r="55" spans="1:15" s="49" customFormat="1" ht="25.15" customHeight="1">
      <c r="A55" s="61">
        <v>0.66666666666666696</v>
      </c>
      <c r="B55" s="62"/>
      <c r="C55" s="63"/>
      <c r="D55" s="64"/>
      <c r="E55" s="65"/>
      <c r="F55" s="61">
        <v>0.66666666666666696</v>
      </c>
      <c r="G55" s="62"/>
      <c r="H55" s="63"/>
      <c r="I55" s="64"/>
      <c r="J55" s="65"/>
      <c r="K55" s="61">
        <v>0.66666666666666696</v>
      </c>
      <c r="L55" s="62"/>
      <c r="M55" s="63"/>
      <c r="N55" s="64"/>
      <c r="O55" s="65"/>
    </row>
    <row r="56" spans="1:15" s="49" customFormat="1" ht="25.15" customHeight="1">
      <c r="A56" s="61">
        <v>0.6875</v>
      </c>
      <c r="B56" s="62"/>
      <c r="C56" s="63"/>
      <c r="D56" s="64"/>
      <c r="E56" s="65"/>
      <c r="F56" s="61">
        <v>0.6875</v>
      </c>
      <c r="G56" s="62"/>
      <c r="H56" s="63"/>
      <c r="I56" s="64"/>
      <c r="J56" s="65"/>
      <c r="K56" s="61">
        <v>0.6875</v>
      </c>
      <c r="L56" s="62"/>
      <c r="M56" s="63"/>
      <c r="N56" s="64"/>
      <c r="O56" s="65"/>
    </row>
    <row r="57" spans="1:15" s="49" customFormat="1" ht="25.15" customHeight="1" thickBot="1">
      <c r="A57" s="66">
        <v>0.70833333333333404</v>
      </c>
      <c r="B57" s="67"/>
      <c r="C57" s="68"/>
      <c r="D57" s="69"/>
      <c r="E57" s="70"/>
      <c r="F57" s="66">
        <v>0.70833333333333404</v>
      </c>
      <c r="G57" s="67"/>
      <c r="H57" s="68"/>
      <c r="I57" s="69"/>
      <c r="J57" s="70"/>
      <c r="K57" s="66">
        <v>0.70833333333333404</v>
      </c>
      <c r="L57" s="67"/>
      <c r="M57" s="68"/>
      <c r="N57" s="69"/>
      <c r="O57" s="70"/>
    </row>
    <row r="69" spans="1:15" ht="20.100000000000001">
      <c r="A69" s="141" t="str">
        <f>IF('Audit information'!$B$3&gt;2,"Audit Timetable - Day 3","DELETE TABLE")</f>
        <v>Audit Timetable - Day 3</v>
      </c>
      <c r="B69" s="141"/>
      <c r="C69" s="141"/>
      <c r="D69" s="141"/>
      <c r="E69" s="141"/>
    </row>
    <row r="70" spans="1:15" s="49" customFormat="1" ht="20.45" thickBot="1">
      <c r="A70" s="108"/>
      <c r="B70" s="109"/>
      <c r="C70" s="109"/>
      <c r="D70" s="77" t="s">
        <v>168</v>
      </c>
      <c r="E70" s="47" t="e">
        <f>IF('Audit information'!$B$3&gt;2,'Audit information'!$B$4+2,"DELETE TABLE")</f>
        <v>#VALUE!</v>
      </c>
      <c r="F70" s="109"/>
      <c r="G70" s="77" t="s">
        <v>168</v>
      </c>
      <c r="H70" s="47" t="e">
        <f>IF('Audit information'!$B$3&gt;2,'Audit information'!$B$4+2,"DELETE TABLE")</f>
        <v>#VALUE!</v>
      </c>
      <c r="I70" s="109"/>
      <c r="J70" s="109"/>
      <c r="K70" s="109"/>
      <c r="L70" s="77" t="s">
        <v>168</v>
      </c>
      <c r="M70" s="47" t="e">
        <f>IF('Audit information'!$B$3&gt;2,'Audit information'!$B$4+2,"DELETE TABLE")</f>
        <v>#VALUE!</v>
      </c>
      <c r="N70" s="100"/>
      <c r="O70" s="100"/>
    </row>
    <row r="71" spans="1:15" s="49" customFormat="1" ht="24.6" customHeight="1">
      <c r="A71" s="100"/>
      <c r="B71" s="50" t="s">
        <v>169</v>
      </c>
      <c r="C71" s="102" t="str">
        <f>'Audit information'!$B$8</f>
        <v>&lt;&lt;Lead auditor&gt;&gt;</v>
      </c>
      <c r="D71" s="51" t="s">
        <v>170</v>
      </c>
      <c r="E71" s="103" t="str">
        <f>'Audit information'!$B$10</f>
        <v>&lt;&lt;Team member 1&gt;&gt;</v>
      </c>
      <c r="F71" s="100"/>
      <c r="G71" s="50" t="str">
        <f>IF('Audit information'!$B$9&gt;1,"Team member:","DELETE COLUMN")</f>
        <v>Team member:</v>
      </c>
      <c r="H71" s="102" t="str">
        <f>IF('Audit information'!$B$9&gt;1,'Audit information'!$B$11,"DELETE COLUMN")</f>
        <v>&lt;&lt;Team member 2&gt;&gt;</v>
      </c>
      <c r="I71" s="51" t="str">
        <f>IF('Audit information'!$B$9&gt;2,"Team member:","DELETE COLUMN")</f>
        <v>Team member:</v>
      </c>
      <c r="J71" s="103" t="str">
        <f>IF('Audit information'!$B$9&gt;2,'Audit information'!$B$12,"DELETE COLUMN")</f>
        <v>&lt;&lt;Team member 3&gt;&gt;</v>
      </c>
      <c r="K71" s="100"/>
      <c r="L71" s="50" t="str">
        <f>IF('Audit information'!$B$9&gt;3,"Team member:","DELETE COLUMN")</f>
        <v>Team member:</v>
      </c>
      <c r="M71" s="102" t="str">
        <f>IF('Audit information'!$B$9&gt;3,'Audit information'!$B$13,"DELETE COLUMN")</f>
        <v>&lt;&lt;Team member 4&gt;&gt;</v>
      </c>
      <c r="N71" s="51" t="str">
        <f>IF('Audit information'!$B$9&gt;4,"Team member:","DELETE COLUMN")</f>
        <v>Team member:</v>
      </c>
      <c r="O71" s="103" t="str">
        <f>IF('Audit information'!$B$9&gt;4,'Audit information'!$B$14,"DELETE COLUMN")</f>
        <v>&lt;&lt;Team member 5&gt;&gt;</v>
      </c>
    </row>
    <row r="72" spans="1:15" s="49" customFormat="1" ht="24.6" customHeight="1" thickBot="1">
      <c r="A72" s="100"/>
      <c r="B72" s="52" t="s">
        <v>171</v>
      </c>
      <c r="C72" s="53" t="s">
        <v>172</v>
      </c>
      <c r="D72" s="54" t="s">
        <v>171</v>
      </c>
      <c r="E72" s="55" t="s">
        <v>172</v>
      </c>
      <c r="F72" s="100"/>
      <c r="G72" s="52" t="s">
        <v>171</v>
      </c>
      <c r="H72" s="53" t="s">
        <v>172</v>
      </c>
      <c r="I72" s="54" t="s">
        <v>171</v>
      </c>
      <c r="J72" s="55" t="s">
        <v>172</v>
      </c>
      <c r="K72" s="100"/>
      <c r="L72" s="52" t="s">
        <v>171</v>
      </c>
      <c r="M72" s="53" t="s">
        <v>172</v>
      </c>
      <c r="N72" s="54" t="s">
        <v>171</v>
      </c>
      <c r="O72" s="55" t="s">
        <v>172</v>
      </c>
    </row>
    <row r="73" spans="1:15" s="49" customFormat="1" ht="24.6" customHeight="1">
      <c r="A73" s="56">
        <v>0.33333333333333331</v>
      </c>
      <c r="B73" s="57"/>
      <c r="C73" s="58"/>
      <c r="D73" s="59"/>
      <c r="E73" s="60"/>
      <c r="F73" s="56">
        <v>0.33333333333333331</v>
      </c>
      <c r="G73" s="57"/>
      <c r="H73" s="58"/>
      <c r="I73" s="59"/>
      <c r="J73" s="60"/>
      <c r="K73" s="56">
        <v>0.33333333333333331</v>
      </c>
      <c r="L73" s="57"/>
      <c r="M73" s="58"/>
      <c r="N73" s="59"/>
      <c r="O73" s="60"/>
    </row>
    <row r="74" spans="1:15" s="49" customFormat="1" ht="24.6" customHeight="1">
      <c r="A74" s="61">
        <v>0.35416666666666669</v>
      </c>
      <c r="B74" s="62"/>
      <c r="C74" s="63"/>
      <c r="D74" s="64"/>
      <c r="E74" s="65"/>
      <c r="F74" s="61">
        <v>0.35416666666666669</v>
      </c>
      <c r="G74" s="62"/>
      <c r="H74" s="63"/>
      <c r="I74" s="64"/>
      <c r="J74" s="65"/>
      <c r="K74" s="61">
        <v>0.35416666666666669</v>
      </c>
      <c r="L74" s="62"/>
      <c r="M74" s="63"/>
      <c r="N74" s="64"/>
      <c r="O74" s="65"/>
    </row>
    <row r="75" spans="1:15" s="49" customFormat="1" ht="24.6" customHeight="1">
      <c r="A75" s="61">
        <v>0.375</v>
      </c>
      <c r="B75" s="62"/>
      <c r="C75" s="63"/>
      <c r="D75" s="64"/>
      <c r="E75" s="65"/>
      <c r="F75" s="61">
        <v>0.375</v>
      </c>
      <c r="G75" s="62"/>
      <c r="H75" s="63"/>
      <c r="I75" s="64"/>
      <c r="J75" s="65"/>
      <c r="K75" s="61">
        <v>0.375</v>
      </c>
      <c r="L75" s="62"/>
      <c r="M75" s="63"/>
      <c r="N75" s="64"/>
      <c r="O75" s="65"/>
    </row>
    <row r="76" spans="1:15" s="49" customFormat="1" ht="24.6" customHeight="1">
      <c r="A76" s="61">
        <v>0.39583333333333331</v>
      </c>
      <c r="B76" s="62"/>
      <c r="C76" s="63"/>
      <c r="D76" s="64"/>
      <c r="E76" s="65"/>
      <c r="F76" s="61">
        <v>0.39583333333333331</v>
      </c>
      <c r="G76" s="62"/>
      <c r="H76" s="63"/>
      <c r="I76" s="64"/>
      <c r="J76" s="65"/>
      <c r="K76" s="61">
        <v>0.39583333333333331</v>
      </c>
      <c r="L76" s="62"/>
      <c r="M76" s="63"/>
      <c r="N76" s="64"/>
      <c r="O76" s="65"/>
    </row>
    <row r="77" spans="1:15" s="49" customFormat="1" ht="24.6" customHeight="1">
      <c r="A77" s="61">
        <v>0.41666666666666702</v>
      </c>
      <c r="B77" s="62"/>
      <c r="C77" s="63"/>
      <c r="D77" s="64"/>
      <c r="E77" s="65"/>
      <c r="F77" s="61">
        <v>0.41666666666666702</v>
      </c>
      <c r="G77" s="62"/>
      <c r="H77" s="63"/>
      <c r="I77" s="64"/>
      <c r="J77" s="65"/>
      <c r="K77" s="61">
        <v>0.41666666666666702</v>
      </c>
      <c r="L77" s="62"/>
      <c r="M77" s="63"/>
      <c r="N77" s="64"/>
      <c r="O77" s="65"/>
    </row>
    <row r="78" spans="1:15" s="49" customFormat="1" ht="24.6" customHeight="1">
      <c r="A78" s="61">
        <v>0.4375</v>
      </c>
      <c r="B78" s="62"/>
      <c r="C78" s="63"/>
      <c r="D78" s="64"/>
      <c r="E78" s="65"/>
      <c r="F78" s="61">
        <v>0.4375</v>
      </c>
      <c r="G78" s="62"/>
      <c r="H78" s="63"/>
      <c r="I78" s="64"/>
      <c r="J78" s="65"/>
      <c r="K78" s="61">
        <v>0.4375</v>
      </c>
      <c r="L78" s="62"/>
      <c r="M78" s="63"/>
      <c r="N78" s="64"/>
      <c r="O78" s="65"/>
    </row>
    <row r="79" spans="1:15" s="49" customFormat="1" ht="24.6" customHeight="1">
      <c r="A79" s="61">
        <v>0.45833333333333298</v>
      </c>
      <c r="B79" s="62"/>
      <c r="C79" s="63"/>
      <c r="D79" s="64"/>
      <c r="E79" s="65"/>
      <c r="F79" s="61">
        <v>0.45833333333333298</v>
      </c>
      <c r="G79" s="62"/>
      <c r="H79" s="63"/>
      <c r="I79" s="64"/>
      <c r="J79" s="65"/>
      <c r="K79" s="61">
        <v>0.45833333333333298</v>
      </c>
      <c r="L79" s="62"/>
      <c r="M79" s="63"/>
      <c r="N79" s="64"/>
      <c r="O79" s="65"/>
    </row>
    <row r="80" spans="1:15" s="49" customFormat="1" ht="24.6" customHeight="1">
      <c r="A80" s="61">
        <v>0.47916666666666702</v>
      </c>
      <c r="B80" s="62"/>
      <c r="C80" s="63"/>
      <c r="D80" s="64"/>
      <c r="E80" s="65"/>
      <c r="F80" s="61">
        <v>0.47916666666666702</v>
      </c>
      <c r="G80" s="62"/>
      <c r="H80" s="63"/>
      <c r="I80" s="64"/>
      <c r="J80" s="65"/>
      <c r="K80" s="61">
        <v>0.47916666666666702</v>
      </c>
      <c r="L80" s="62"/>
      <c r="M80" s="63"/>
      <c r="N80" s="64"/>
      <c r="O80" s="65"/>
    </row>
    <row r="81" spans="1:15" s="49" customFormat="1" ht="24.6" customHeight="1">
      <c r="A81" s="61">
        <v>0.5</v>
      </c>
      <c r="B81" s="62"/>
      <c r="C81" s="63"/>
      <c r="D81" s="64"/>
      <c r="E81" s="65"/>
      <c r="F81" s="61">
        <v>0.5</v>
      </c>
      <c r="G81" s="62"/>
      <c r="H81" s="63"/>
      <c r="I81" s="64"/>
      <c r="J81" s="65"/>
      <c r="K81" s="61">
        <v>0.5</v>
      </c>
      <c r="L81" s="62"/>
      <c r="M81" s="63"/>
      <c r="N81" s="64"/>
      <c r="O81" s="65"/>
    </row>
    <row r="82" spans="1:15" s="49" customFormat="1" ht="24.6" customHeight="1">
      <c r="A82" s="61">
        <v>0.52083333333333304</v>
      </c>
      <c r="B82" s="62"/>
      <c r="C82" s="63"/>
      <c r="D82" s="64"/>
      <c r="E82" s="65"/>
      <c r="F82" s="61">
        <v>0.52083333333333304</v>
      </c>
      <c r="G82" s="62"/>
      <c r="H82" s="63"/>
      <c r="I82" s="64"/>
      <c r="J82" s="65"/>
      <c r="K82" s="61">
        <v>0.52083333333333304</v>
      </c>
      <c r="L82" s="62"/>
      <c r="M82" s="63"/>
      <c r="N82" s="64"/>
      <c r="O82" s="65"/>
    </row>
    <row r="83" spans="1:15" s="49" customFormat="1" ht="24.6" customHeight="1">
      <c r="A83" s="61">
        <v>0.54166666666666696</v>
      </c>
      <c r="B83" s="62"/>
      <c r="C83" s="63"/>
      <c r="D83" s="64"/>
      <c r="E83" s="65"/>
      <c r="F83" s="61">
        <v>0.54166666666666696</v>
      </c>
      <c r="G83" s="62"/>
      <c r="H83" s="63"/>
      <c r="I83" s="64"/>
      <c r="J83" s="65"/>
      <c r="K83" s="61">
        <v>0.54166666666666696</v>
      </c>
      <c r="L83" s="62"/>
      <c r="M83" s="63"/>
      <c r="N83" s="64"/>
      <c r="O83" s="65"/>
    </row>
    <row r="84" spans="1:15" s="49" customFormat="1" ht="24.6" customHeight="1">
      <c r="A84" s="61">
        <v>0.5625</v>
      </c>
      <c r="B84" s="62"/>
      <c r="C84" s="63"/>
      <c r="D84" s="64"/>
      <c r="E84" s="65"/>
      <c r="F84" s="61">
        <v>0.5625</v>
      </c>
      <c r="G84" s="62"/>
      <c r="H84" s="63"/>
      <c r="I84" s="64"/>
      <c r="J84" s="65"/>
      <c r="K84" s="61">
        <v>0.5625</v>
      </c>
      <c r="L84" s="62"/>
      <c r="M84" s="63"/>
      <c r="N84" s="64"/>
      <c r="O84" s="65"/>
    </row>
    <row r="85" spans="1:15" s="49" customFormat="1" ht="24.6" customHeight="1">
      <c r="A85" s="61">
        <v>0.58333333333333304</v>
      </c>
      <c r="B85" s="62"/>
      <c r="C85" s="63"/>
      <c r="D85" s="64"/>
      <c r="E85" s="65"/>
      <c r="F85" s="61">
        <v>0.58333333333333304</v>
      </c>
      <c r="G85" s="62"/>
      <c r="H85" s="63"/>
      <c r="I85" s="64"/>
      <c r="J85" s="65"/>
      <c r="K85" s="61">
        <v>0.58333333333333304</v>
      </c>
      <c r="L85" s="62"/>
      <c r="M85" s="63"/>
      <c r="N85" s="64"/>
      <c r="O85" s="65"/>
    </row>
    <row r="86" spans="1:15" s="49" customFormat="1" ht="24.6" customHeight="1">
      <c r="A86" s="61">
        <v>0.60416666666666696</v>
      </c>
      <c r="B86" s="62"/>
      <c r="C86" s="63"/>
      <c r="D86" s="64"/>
      <c r="E86" s="65"/>
      <c r="F86" s="61">
        <v>0.60416666666666696</v>
      </c>
      <c r="G86" s="62"/>
      <c r="H86" s="63"/>
      <c r="I86" s="64"/>
      <c r="J86" s="65"/>
      <c r="K86" s="61">
        <v>0.60416666666666696</v>
      </c>
      <c r="L86" s="62"/>
      <c r="M86" s="63"/>
      <c r="N86" s="64"/>
      <c r="O86" s="65"/>
    </row>
    <row r="87" spans="1:15" s="49" customFormat="1" ht="24.6" customHeight="1">
      <c r="A87" s="61">
        <v>0.625</v>
      </c>
      <c r="B87" s="62"/>
      <c r="C87" s="63"/>
      <c r="D87" s="64"/>
      <c r="E87" s="65"/>
      <c r="F87" s="61">
        <v>0.625</v>
      </c>
      <c r="G87" s="62"/>
      <c r="H87" s="63"/>
      <c r="I87" s="64"/>
      <c r="J87" s="65"/>
      <c r="K87" s="61">
        <v>0.625</v>
      </c>
      <c r="L87" s="62"/>
      <c r="M87" s="63"/>
      <c r="N87" s="64"/>
      <c r="O87" s="65"/>
    </row>
    <row r="88" spans="1:15" s="49" customFormat="1" ht="24.6" customHeight="1">
      <c r="A88" s="61">
        <v>0.64583333333333404</v>
      </c>
      <c r="B88" s="62"/>
      <c r="C88" s="63"/>
      <c r="D88" s="64"/>
      <c r="E88" s="65"/>
      <c r="F88" s="61">
        <v>0.64583333333333404</v>
      </c>
      <c r="G88" s="62"/>
      <c r="H88" s="63"/>
      <c r="I88" s="64"/>
      <c r="J88" s="65"/>
      <c r="K88" s="61">
        <v>0.64583333333333404</v>
      </c>
      <c r="L88" s="62"/>
      <c r="M88" s="63"/>
      <c r="N88" s="64"/>
      <c r="O88" s="65"/>
    </row>
    <row r="89" spans="1:15" s="49" customFormat="1" ht="24.6" customHeight="1">
      <c r="A89" s="61">
        <v>0.66666666666666696</v>
      </c>
      <c r="B89" s="62"/>
      <c r="C89" s="63"/>
      <c r="D89" s="64"/>
      <c r="E89" s="65"/>
      <c r="F89" s="61">
        <v>0.66666666666666696</v>
      </c>
      <c r="G89" s="62"/>
      <c r="H89" s="63"/>
      <c r="I89" s="64"/>
      <c r="J89" s="65"/>
      <c r="K89" s="61">
        <v>0.66666666666666696</v>
      </c>
      <c r="L89" s="62"/>
      <c r="M89" s="63"/>
      <c r="N89" s="64"/>
      <c r="O89" s="65"/>
    </row>
    <row r="90" spans="1:15" s="49" customFormat="1" ht="24.6" customHeight="1">
      <c r="A90" s="61">
        <v>0.6875</v>
      </c>
      <c r="B90" s="62"/>
      <c r="C90" s="63"/>
      <c r="D90" s="64"/>
      <c r="E90" s="65"/>
      <c r="F90" s="61">
        <v>0.6875</v>
      </c>
      <c r="G90" s="62"/>
      <c r="H90" s="63"/>
      <c r="I90" s="64"/>
      <c r="J90" s="65"/>
      <c r="K90" s="61">
        <v>0.6875</v>
      </c>
      <c r="L90" s="62"/>
      <c r="M90" s="63"/>
      <c r="N90" s="64"/>
      <c r="O90" s="65"/>
    </row>
    <row r="91" spans="1:15" s="49" customFormat="1" ht="24.6" customHeight="1" thickBot="1">
      <c r="A91" s="66">
        <v>0.70833333333333404</v>
      </c>
      <c r="B91" s="67"/>
      <c r="C91" s="68"/>
      <c r="D91" s="69"/>
      <c r="E91" s="70"/>
      <c r="F91" s="66">
        <v>0.70833333333333404</v>
      </c>
      <c r="G91" s="67"/>
      <c r="H91" s="68"/>
      <c r="I91" s="69"/>
      <c r="J91" s="70"/>
      <c r="K91" s="66">
        <v>0.70833333333333404</v>
      </c>
      <c r="L91" s="67"/>
      <c r="M91" s="68"/>
      <c r="N91" s="69"/>
      <c r="O91" s="70"/>
    </row>
    <row r="104" spans="1:15" ht="20.100000000000001">
      <c r="A104" s="141" t="str">
        <f>IF('Audit information'!$B$3&gt;3,"Audit Timetable - Day 4","DELETE TABLE")</f>
        <v>Audit Timetable - Day 4</v>
      </c>
      <c r="B104" s="141"/>
      <c r="C104" s="141"/>
      <c r="D104" s="141"/>
      <c r="E104" s="141"/>
    </row>
    <row r="105" spans="1:15" s="49" customFormat="1" ht="20.45" thickBot="1">
      <c r="A105" s="108"/>
      <c r="B105" s="109"/>
      <c r="C105" s="109"/>
      <c r="D105" s="77" t="s">
        <v>168</v>
      </c>
      <c r="E105" s="47" t="e">
        <f>IF('Audit information'!$B$3&gt;3,'Audit information'!$B$4+3,"DELETE TABLE")</f>
        <v>#VALUE!</v>
      </c>
      <c r="F105" s="109"/>
      <c r="G105" s="77" t="s">
        <v>168</v>
      </c>
      <c r="H105" s="47" t="e">
        <f>IF('Audit information'!$B$3&gt;3,'Audit information'!$B$4+3,"DELETE TABLE")</f>
        <v>#VALUE!</v>
      </c>
      <c r="I105" s="109"/>
      <c r="J105" s="109"/>
      <c r="K105" s="109"/>
      <c r="L105" s="77" t="s">
        <v>168</v>
      </c>
      <c r="M105" s="47" t="e">
        <f>IF('Audit information'!$B$3&gt;3,'Audit information'!$B$4+3,"DELETE TABLE")</f>
        <v>#VALUE!</v>
      </c>
      <c r="N105" s="100"/>
      <c r="O105" s="100"/>
    </row>
    <row r="106" spans="1:15" s="49" customFormat="1" ht="24" customHeight="1">
      <c r="A106" s="100"/>
      <c r="B106" s="50" t="s">
        <v>169</v>
      </c>
      <c r="C106" s="102" t="str">
        <f>'Audit information'!$B$8</f>
        <v>&lt;&lt;Lead auditor&gt;&gt;</v>
      </c>
      <c r="D106" s="51" t="s">
        <v>170</v>
      </c>
      <c r="E106" s="103" t="str">
        <f>'Audit information'!$B$10</f>
        <v>&lt;&lt;Team member 1&gt;&gt;</v>
      </c>
      <c r="F106" s="100"/>
      <c r="G106" s="50" t="str">
        <f>IF('Audit information'!$B$9&gt;1,"Team member:","DELETE COLUMN")</f>
        <v>Team member:</v>
      </c>
      <c r="H106" s="102" t="str">
        <f>IF('Audit information'!$B$9&gt;1,'Audit information'!$B$11,"DELETE COLUMN")</f>
        <v>&lt;&lt;Team member 2&gt;&gt;</v>
      </c>
      <c r="I106" s="51" t="str">
        <f>IF('Audit information'!$B$9&gt;2,"Team member:","DELETE COLUMN")</f>
        <v>Team member:</v>
      </c>
      <c r="J106" s="103" t="str">
        <f>IF('Audit information'!$B$9&gt;2,'Audit information'!$B$12,"DELETE COLUMN")</f>
        <v>&lt;&lt;Team member 3&gt;&gt;</v>
      </c>
      <c r="K106" s="100"/>
      <c r="L106" s="50" t="str">
        <f>IF('Audit information'!$B$9&gt;3,"Team member:","DELETE COLUMN")</f>
        <v>Team member:</v>
      </c>
      <c r="M106" s="102" t="str">
        <f>IF('Audit information'!$B$9&gt;3,'Audit information'!$B$13,"DELETE COLUMN")</f>
        <v>&lt;&lt;Team member 4&gt;&gt;</v>
      </c>
      <c r="N106" s="51" t="str">
        <f>IF('Audit information'!$B$9&gt;4,"Team member:","DELETE COLUMN")</f>
        <v>Team member:</v>
      </c>
      <c r="O106" s="103" t="str">
        <f>IF('Audit information'!$B$9&gt;4,'Audit information'!$B$14,"DELETE COLUMN")</f>
        <v>&lt;&lt;Team member 5&gt;&gt;</v>
      </c>
    </row>
    <row r="107" spans="1:15" s="49" customFormat="1" ht="24" customHeight="1" thickBot="1">
      <c r="A107" s="100"/>
      <c r="B107" s="52" t="s">
        <v>171</v>
      </c>
      <c r="C107" s="53" t="s">
        <v>172</v>
      </c>
      <c r="D107" s="54" t="s">
        <v>171</v>
      </c>
      <c r="E107" s="55" t="s">
        <v>172</v>
      </c>
      <c r="F107" s="100"/>
      <c r="G107" s="52" t="s">
        <v>171</v>
      </c>
      <c r="H107" s="53" t="s">
        <v>172</v>
      </c>
      <c r="I107" s="54" t="s">
        <v>171</v>
      </c>
      <c r="J107" s="55" t="s">
        <v>172</v>
      </c>
      <c r="K107" s="100"/>
      <c r="L107" s="52" t="s">
        <v>171</v>
      </c>
      <c r="M107" s="53" t="s">
        <v>172</v>
      </c>
      <c r="N107" s="54" t="s">
        <v>171</v>
      </c>
      <c r="O107" s="55" t="s">
        <v>172</v>
      </c>
    </row>
    <row r="108" spans="1:15" s="49" customFormat="1" ht="24" customHeight="1">
      <c r="A108" s="56">
        <v>0.33333333333333331</v>
      </c>
      <c r="B108" s="57"/>
      <c r="C108" s="58"/>
      <c r="D108" s="59"/>
      <c r="E108" s="60"/>
      <c r="F108" s="56">
        <v>0.33333333333333331</v>
      </c>
      <c r="G108" s="57"/>
      <c r="H108" s="58"/>
      <c r="I108" s="59"/>
      <c r="J108" s="60"/>
      <c r="K108" s="56">
        <v>0.33333333333333331</v>
      </c>
      <c r="L108" s="57"/>
      <c r="M108" s="58"/>
      <c r="N108" s="59"/>
      <c r="O108" s="60"/>
    </row>
    <row r="109" spans="1:15" s="49" customFormat="1" ht="24" customHeight="1">
      <c r="A109" s="61">
        <v>0.35416666666666669</v>
      </c>
      <c r="B109" s="62"/>
      <c r="C109" s="63"/>
      <c r="D109" s="64"/>
      <c r="E109" s="65"/>
      <c r="F109" s="61">
        <v>0.35416666666666669</v>
      </c>
      <c r="G109" s="62"/>
      <c r="H109" s="63"/>
      <c r="I109" s="64"/>
      <c r="J109" s="65"/>
      <c r="K109" s="61">
        <v>0.35416666666666669</v>
      </c>
      <c r="L109" s="62"/>
      <c r="M109" s="63"/>
      <c r="N109" s="64"/>
      <c r="O109" s="65"/>
    </row>
    <row r="110" spans="1:15" s="49" customFormat="1" ht="24" customHeight="1">
      <c r="A110" s="61">
        <v>0.375</v>
      </c>
      <c r="B110" s="62"/>
      <c r="C110" s="63"/>
      <c r="D110" s="64"/>
      <c r="E110" s="65"/>
      <c r="F110" s="61">
        <v>0.375</v>
      </c>
      <c r="G110" s="62"/>
      <c r="H110" s="63"/>
      <c r="I110" s="64"/>
      <c r="J110" s="65"/>
      <c r="K110" s="61">
        <v>0.375</v>
      </c>
      <c r="L110" s="62"/>
      <c r="M110" s="63"/>
      <c r="N110" s="64"/>
      <c r="O110" s="65"/>
    </row>
    <row r="111" spans="1:15" s="49" customFormat="1" ht="24" customHeight="1">
      <c r="A111" s="61">
        <v>0.39583333333333331</v>
      </c>
      <c r="B111" s="62"/>
      <c r="C111" s="63"/>
      <c r="D111" s="64"/>
      <c r="E111" s="65"/>
      <c r="F111" s="61">
        <v>0.39583333333333331</v>
      </c>
      <c r="G111" s="62"/>
      <c r="H111" s="63"/>
      <c r="I111" s="64"/>
      <c r="J111" s="65"/>
      <c r="K111" s="61">
        <v>0.39583333333333331</v>
      </c>
      <c r="L111" s="62"/>
      <c r="M111" s="63"/>
      <c r="N111" s="64"/>
      <c r="O111" s="65"/>
    </row>
    <row r="112" spans="1:15" s="49" customFormat="1" ht="24" customHeight="1">
      <c r="A112" s="61">
        <v>0.41666666666666702</v>
      </c>
      <c r="B112" s="62"/>
      <c r="C112" s="63"/>
      <c r="D112" s="64"/>
      <c r="E112" s="65"/>
      <c r="F112" s="61">
        <v>0.41666666666666702</v>
      </c>
      <c r="G112" s="62"/>
      <c r="H112" s="63"/>
      <c r="I112" s="64"/>
      <c r="J112" s="65"/>
      <c r="K112" s="61">
        <v>0.41666666666666702</v>
      </c>
      <c r="L112" s="62"/>
      <c r="M112" s="63"/>
      <c r="N112" s="64"/>
      <c r="O112" s="65"/>
    </row>
    <row r="113" spans="1:15" s="49" customFormat="1" ht="24" customHeight="1">
      <c r="A113" s="61">
        <v>0.4375</v>
      </c>
      <c r="B113" s="62"/>
      <c r="C113" s="63"/>
      <c r="D113" s="64"/>
      <c r="E113" s="65"/>
      <c r="F113" s="61">
        <v>0.4375</v>
      </c>
      <c r="G113" s="62"/>
      <c r="H113" s="63"/>
      <c r="I113" s="64"/>
      <c r="J113" s="65"/>
      <c r="K113" s="61">
        <v>0.4375</v>
      </c>
      <c r="L113" s="62"/>
      <c r="M113" s="63"/>
      <c r="N113" s="64"/>
      <c r="O113" s="65"/>
    </row>
    <row r="114" spans="1:15" s="49" customFormat="1" ht="24" customHeight="1">
      <c r="A114" s="61">
        <v>0.45833333333333298</v>
      </c>
      <c r="B114" s="62"/>
      <c r="C114" s="63"/>
      <c r="D114" s="64"/>
      <c r="E114" s="65"/>
      <c r="F114" s="61">
        <v>0.45833333333333298</v>
      </c>
      <c r="G114" s="62"/>
      <c r="H114" s="63"/>
      <c r="I114" s="64"/>
      <c r="J114" s="65"/>
      <c r="K114" s="61">
        <v>0.45833333333333298</v>
      </c>
      <c r="L114" s="62"/>
      <c r="M114" s="63"/>
      <c r="N114" s="64"/>
      <c r="O114" s="65"/>
    </row>
    <row r="115" spans="1:15" s="49" customFormat="1" ht="24" customHeight="1">
      <c r="A115" s="61">
        <v>0.47916666666666702</v>
      </c>
      <c r="B115" s="62"/>
      <c r="C115" s="63"/>
      <c r="D115" s="64"/>
      <c r="E115" s="65"/>
      <c r="F115" s="61">
        <v>0.47916666666666702</v>
      </c>
      <c r="G115" s="62"/>
      <c r="H115" s="63"/>
      <c r="I115" s="64"/>
      <c r="J115" s="65"/>
      <c r="K115" s="61">
        <v>0.47916666666666702</v>
      </c>
      <c r="L115" s="62"/>
      <c r="M115" s="63"/>
      <c r="N115" s="64"/>
      <c r="O115" s="65"/>
    </row>
    <row r="116" spans="1:15" s="49" customFormat="1" ht="24" customHeight="1">
      <c r="A116" s="61">
        <v>0.5</v>
      </c>
      <c r="B116" s="62"/>
      <c r="C116" s="63"/>
      <c r="D116" s="64"/>
      <c r="E116" s="65"/>
      <c r="F116" s="61">
        <v>0.5</v>
      </c>
      <c r="G116" s="62"/>
      <c r="H116" s="63"/>
      <c r="I116" s="64"/>
      <c r="J116" s="65"/>
      <c r="K116" s="61">
        <v>0.5</v>
      </c>
      <c r="L116" s="62"/>
      <c r="M116" s="63"/>
      <c r="N116" s="64"/>
      <c r="O116" s="65"/>
    </row>
    <row r="117" spans="1:15" s="49" customFormat="1" ht="24" customHeight="1">
      <c r="A117" s="61">
        <v>0.52083333333333304</v>
      </c>
      <c r="B117" s="62"/>
      <c r="C117" s="63"/>
      <c r="D117" s="64"/>
      <c r="E117" s="65"/>
      <c r="F117" s="61">
        <v>0.52083333333333304</v>
      </c>
      <c r="G117" s="62"/>
      <c r="H117" s="63"/>
      <c r="I117" s="64"/>
      <c r="J117" s="65"/>
      <c r="K117" s="61">
        <v>0.52083333333333304</v>
      </c>
      <c r="L117" s="62"/>
      <c r="M117" s="63"/>
      <c r="N117" s="64"/>
      <c r="O117" s="65"/>
    </row>
    <row r="118" spans="1:15" s="49" customFormat="1" ht="24" customHeight="1">
      <c r="A118" s="61">
        <v>0.54166666666666696</v>
      </c>
      <c r="B118" s="62"/>
      <c r="C118" s="63"/>
      <c r="D118" s="64"/>
      <c r="E118" s="65"/>
      <c r="F118" s="61">
        <v>0.54166666666666696</v>
      </c>
      <c r="G118" s="62"/>
      <c r="H118" s="63"/>
      <c r="I118" s="64"/>
      <c r="J118" s="65"/>
      <c r="K118" s="61">
        <v>0.54166666666666696</v>
      </c>
      <c r="L118" s="62"/>
      <c r="M118" s="63"/>
      <c r="N118" s="64"/>
      <c r="O118" s="65"/>
    </row>
    <row r="119" spans="1:15" s="49" customFormat="1" ht="24" customHeight="1">
      <c r="A119" s="61">
        <v>0.5625</v>
      </c>
      <c r="B119" s="62"/>
      <c r="C119" s="63"/>
      <c r="D119" s="64"/>
      <c r="E119" s="65"/>
      <c r="F119" s="61">
        <v>0.5625</v>
      </c>
      <c r="G119" s="62"/>
      <c r="H119" s="63"/>
      <c r="I119" s="64"/>
      <c r="J119" s="65"/>
      <c r="K119" s="61">
        <v>0.5625</v>
      </c>
      <c r="L119" s="62"/>
      <c r="M119" s="63"/>
      <c r="N119" s="64"/>
      <c r="O119" s="65"/>
    </row>
    <row r="120" spans="1:15" s="49" customFormat="1" ht="24" customHeight="1">
      <c r="A120" s="61">
        <v>0.58333333333333304</v>
      </c>
      <c r="B120" s="62"/>
      <c r="C120" s="63"/>
      <c r="D120" s="64"/>
      <c r="E120" s="65"/>
      <c r="F120" s="61">
        <v>0.58333333333333304</v>
      </c>
      <c r="G120" s="62"/>
      <c r="H120" s="63"/>
      <c r="I120" s="64"/>
      <c r="J120" s="65"/>
      <c r="K120" s="61">
        <v>0.58333333333333304</v>
      </c>
      <c r="L120" s="62"/>
      <c r="M120" s="63"/>
      <c r="N120" s="64"/>
      <c r="O120" s="65"/>
    </row>
    <row r="121" spans="1:15" s="49" customFormat="1" ht="24" customHeight="1">
      <c r="A121" s="61">
        <v>0.60416666666666696</v>
      </c>
      <c r="B121" s="62"/>
      <c r="C121" s="63"/>
      <c r="D121" s="64"/>
      <c r="E121" s="65"/>
      <c r="F121" s="61">
        <v>0.60416666666666696</v>
      </c>
      <c r="G121" s="62"/>
      <c r="H121" s="63"/>
      <c r="I121" s="64"/>
      <c r="J121" s="65"/>
      <c r="K121" s="61">
        <v>0.60416666666666696</v>
      </c>
      <c r="L121" s="62"/>
      <c r="M121" s="63"/>
      <c r="N121" s="64"/>
      <c r="O121" s="65"/>
    </row>
    <row r="122" spans="1:15" s="49" customFormat="1" ht="24" customHeight="1">
      <c r="A122" s="61">
        <v>0.625</v>
      </c>
      <c r="B122" s="62"/>
      <c r="C122" s="63"/>
      <c r="D122" s="64"/>
      <c r="E122" s="65"/>
      <c r="F122" s="61">
        <v>0.625</v>
      </c>
      <c r="G122" s="62"/>
      <c r="H122" s="63"/>
      <c r="I122" s="64"/>
      <c r="J122" s="65"/>
      <c r="K122" s="61">
        <v>0.625</v>
      </c>
      <c r="L122" s="62"/>
      <c r="M122" s="63"/>
      <c r="N122" s="64"/>
      <c r="O122" s="65"/>
    </row>
    <row r="123" spans="1:15" s="49" customFormat="1" ht="24" customHeight="1">
      <c r="A123" s="61">
        <v>0.64583333333333404</v>
      </c>
      <c r="B123" s="62"/>
      <c r="C123" s="63"/>
      <c r="D123" s="64"/>
      <c r="E123" s="65"/>
      <c r="F123" s="61">
        <v>0.64583333333333404</v>
      </c>
      <c r="G123" s="62"/>
      <c r="H123" s="63"/>
      <c r="I123" s="64"/>
      <c r="J123" s="65"/>
      <c r="K123" s="61">
        <v>0.64583333333333404</v>
      </c>
      <c r="L123" s="62"/>
      <c r="M123" s="63"/>
      <c r="N123" s="64"/>
      <c r="O123" s="65"/>
    </row>
    <row r="124" spans="1:15" s="49" customFormat="1" ht="24" customHeight="1">
      <c r="A124" s="61">
        <v>0.66666666666666696</v>
      </c>
      <c r="B124" s="62"/>
      <c r="C124" s="63"/>
      <c r="D124" s="64"/>
      <c r="E124" s="65"/>
      <c r="F124" s="61">
        <v>0.66666666666666696</v>
      </c>
      <c r="G124" s="62"/>
      <c r="H124" s="63"/>
      <c r="I124" s="64"/>
      <c r="J124" s="65"/>
      <c r="K124" s="61">
        <v>0.66666666666666696</v>
      </c>
      <c r="L124" s="62"/>
      <c r="M124" s="63"/>
      <c r="N124" s="64"/>
      <c r="O124" s="65"/>
    </row>
    <row r="125" spans="1:15" s="49" customFormat="1" ht="24" customHeight="1">
      <c r="A125" s="61">
        <v>0.6875</v>
      </c>
      <c r="B125" s="62"/>
      <c r="C125" s="63"/>
      <c r="D125" s="64"/>
      <c r="E125" s="65"/>
      <c r="F125" s="61">
        <v>0.6875</v>
      </c>
      <c r="G125" s="62"/>
      <c r="H125" s="63"/>
      <c r="I125" s="64"/>
      <c r="J125" s="65"/>
      <c r="K125" s="61">
        <v>0.6875</v>
      </c>
      <c r="L125" s="62"/>
      <c r="M125" s="63"/>
      <c r="N125" s="64"/>
      <c r="O125" s="65"/>
    </row>
    <row r="126" spans="1:15" s="49" customFormat="1" ht="24" customHeight="1" thickBot="1">
      <c r="A126" s="66">
        <v>0.70833333333333404</v>
      </c>
      <c r="B126" s="67"/>
      <c r="C126" s="68"/>
      <c r="D126" s="69"/>
      <c r="E126" s="70"/>
      <c r="F126" s="66">
        <v>0.70833333333333404</v>
      </c>
      <c r="G126" s="67"/>
      <c r="H126" s="68"/>
      <c r="I126" s="69"/>
      <c r="J126" s="70"/>
      <c r="K126" s="66">
        <v>0.70833333333333404</v>
      </c>
      <c r="L126" s="67"/>
      <c r="M126" s="68"/>
      <c r="N126" s="69"/>
      <c r="O126" s="70"/>
    </row>
    <row r="140" spans="1:15" ht="20.100000000000001">
      <c r="A140" s="141" t="str">
        <f>IF('Audit information'!$B$3&gt;4,"Audit Timetable - Day 5","DELETE TABLE")</f>
        <v>Audit Timetable - Day 5</v>
      </c>
      <c r="B140" s="141"/>
      <c r="C140" s="141"/>
      <c r="D140" s="141"/>
      <c r="E140" s="141"/>
    </row>
    <row r="141" spans="1:15" s="49" customFormat="1" ht="20.45" thickBot="1">
      <c r="A141" s="108"/>
      <c r="B141" s="109"/>
      <c r="C141" s="109"/>
      <c r="D141" s="77" t="s">
        <v>168</v>
      </c>
      <c r="E141" s="47" t="e">
        <f>IF('Audit information'!$B$3&gt;4,'Audit information'!$B$4+4,"DELETE TABLE")</f>
        <v>#VALUE!</v>
      </c>
      <c r="F141" s="109"/>
      <c r="G141" s="77" t="s">
        <v>168</v>
      </c>
      <c r="H141" s="47" t="e">
        <f>IF('Audit information'!$B$3&gt;4,'Audit information'!$B$4+4,"DELETE TABLE")</f>
        <v>#VALUE!</v>
      </c>
      <c r="I141" s="109"/>
      <c r="J141" s="109"/>
      <c r="K141" s="109"/>
      <c r="L141" s="77" t="s">
        <v>168</v>
      </c>
      <c r="M141" s="47" t="e">
        <f>IF('Audit information'!$B$3&gt;4,'Audit information'!$B$4+4,"DELETE TABLE")</f>
        <v>#VALUE!</v>
      </c>
      <c r="N141" s="100"/>
      <c r="O141" s="100"/>
    </row>
    <row r="142" spans="1:15" s="49" customFormat="1" ht="24" customHeight="1">
      <c r="A142" s="100"/>
      <c r="B142" s="50" t="s">
        <v>169</v>
      </c>
      <c r="C142" s="102" t="str">
        <f>'Audit information'!$B$8</f>
        <v>&lt;&lt;Lead auditor&gt;&gt;</v>
      </c>
      <c r="D142" s="51" t="s">
        <v>170</v>
      </c>
      <c r="E142" s="103" t="str">
        <f>'Audit information'!$B$10</f>
        <v>&lt;&lt;Team member 1&gt;&gt;</v>
      </c>
      <c r="F142" s="100"/>
      <c r="G142" s="50" t="str">
        <f>IF('Audit information'!$B$9&gt;1,"Team member:","DELETE COLUMN")</f>
        <v>Team member:</v>
      </c>
      <c r="H142" s="102" t="str">
        <f>IF('Audit information'!$B$9&gt;1,'Audit information'!$B$11,"DELETE COLUMN")</f>
        <v>&lt;&lt;Team member 2&gt;&gt;</v>
      </c>
      <c r="I142" s="51" t="str">
        <f>IF('Audit information'!$B$9&gt;2,"Team member:","DELETE COLUMN")</f>
        <v>Team member:</v>
      </c>
      <c r="J142" s="103" t="str">
        <f>IF('Audit information'!$B$9&gt;2,'Audit information'!$B$12,"DELETE COLUMN")</f>
        <v>&lt;&lt;Team member 3&gt;&gt;</v>
      </c>
      <c r="K142" s="100"/>
      <c r="L142" s="50" t="str">
        <f>IF('Audit information'!$B$9&gt;3,"Team member:","DELETE COLUMN")</f>
        <v>Team member:</v>
      </c>
      <c r="M142" s="102" t="str">
        <f>IF('Audit information'!$B$9&gt;3,'Audit information'!$B$13,"DELETE COLUMN")</f>
        <v>&lt;&lt;Team member 4&gt;&gt;</v>
      </c>
      <c r="N142" s="51" t="str">
        <f>IF('Audit information'!$B$9&gt;4,"Team member:","DELETE COLUMN")</f>
        <v>Team member:</v>
      </c>
      <c r="O142" s="103" t="str">
        <f>IF('Audit information'!$B$9&gt;4,'Audit information'!$B$14,"DELETE COLUMN")</f>
        <v>&lt;&lt;Team member 5&gt;&gt;</v>
      </c>
    </row>
    <row r="143" spans="1:15" s="49" customFormat="1" ht="24" customHeight="1" thickBot="1">
      <c r="A143" s="100"/>
      <c r="B143" s="52" t="s">
        <v>171</v>
      </c>
      <c r="C143" s="53" t="s">
        <v>172</v>
      </c>
      <c r="D143" s="54" t="s">
        <v>171</v>
      </c>
      <c r="E143" s="55" t="s">
        <v>172</v>
      </c>
      <c r="F143" s="100"/>
      <c r="G143" s="52" t="s">
        <v>171</v>
      </c>
      <c r="H143" s="53" t="s">
        <v>172</v>
      </c>
      <c r="I143" s="54" t="s">
        <v>171</v>
      </c>
      <c r="J143" s="55" t="s">
        <v>172</v>
      </c>
      <c r="K143" s="100"/>
      <c r="L143" s="52" t="s">
        <v>171</v>
      </c>
      <c r="M143" s="53" t="s">
        <v>172</v>
      </c>
      <c r="N143" s="54" t="s">
        <v>171</v>
      </c>
      <c r="O143" s="55" t="s">
        <v>172</v>
      </c>
    </row>
    <row r="144" spans="1:15" s="49" customFormat="1" ht="24" customHeight="1">
      <c r="A144" s="56">
        <v>0.33333333333333331</v>
      </c>
      <c r="B144" s="57"/>
      <c r="C144" s="58"/>
      <c r="D144" s="59"/>
      <c r="E144" s="60"/>
      <c r="F144" s="56">
        <v>0.33333333333333331</v>
      </c>
      <c r="G144" s="57"/>
      <c r="H144" s="58"/>
      <c r="I144" s="59"/>
      <c r="J144" s="60"/>
      <c r="K144" s="56">
        <v>0.33333333333333331</v>
      </c>
      <c r="L144" s="57"/>
      <c r="M144" s="58"/>
      <c r="N144" s="59"/>
      <c r="O144" s="60"/>
    </row>
    <row r="145" spans="1:15" s="49" customFormat="1" ht="24" customHeight="1">
      <c r="A145" s="61">
        <v>0.35416666666666669</v>
      </c>
      <c r="B145" s="62"/>
      <c r="C145" s="63"/>
      <c r="D145" s="64"/>
      <c r="E145" s="65"/>
      <c r="F145" s="61">
        <v>0.35416666666666669</v>
      </c>
      <c r="G145" s="62"/>
      <c r="H145" s="63"/>
      <c r="I145" s="64"/>
      <c r="J145" s="65"/>
      <c r="K145" s="61">
        <v>0.35416666666666669</v>
      </c>
      <c r="L145" s="62"/>
      <c r="M145" s="63"/>
      <c r="N145" s="64"/>
      <c r="O145" s="65"/>
    </row>
    <row r="146" spans="1:15" s="49" customFormat="1" ht="24" customHeight="1">
      <c r="A146" s="61">
        <v>0.375</v>
      </c>
      <c r="B146" s="62"/>
      <c r="C146" s="63"/>
      <c r="D146" s="64"/>
      <c r="E146" s="65"/>
      <c r="F146" s="61">
        <v>0.375</v>
      </c>
      <c r="G146" s="62"/>
      <c r="H146" s="63"/>
      <c r="I146" s="64"/>
      <c r="J146" s="65"/>
      <c r="K146" s="61">
        <v>0.375</v>
      </c>
      <c r="L146" s="62"/>
      <c r="M146" s="63"/>
      <c r="N146" s="64"/>
      <c r="O146" s="65"/>
    </row>
    <row r="147" spans="1:15" s="49" customFormat="1" ht="24" customHeight="1">
      <c r="A147" s="61">
        <v>0.39583333333333331</v>
      </c>
      <c r="B147" s="62"/>
      <c r="C147" s="63"/>
      <c r="D147" s="64"/>
      <c r="E147" s="65"/>
      <c r="F147" s="61">
        <v>0.39583333333333331</v>
      </c>
      <c r="G147" s="62"/>
      <c r="H147" s="63"/>
      <c r="I147" s="64"/>
      <c r="J147" s="65"/>
      <c r="K147" s="61">
        <v>0.39583333333333331</v>
      </c>
      <c r="L147" s="62"/>
      <c r="M147" s="63"/>
      <c r="N147" s="64"/>
      <c r="O147" s="65"/>
    </row>
    <row r="148" spans="1:15" s="49" customFormat="1" ht="24" customHeight="1">
      <c r="A148" s="61">
        <v>0.41666666666666702</v>
      </c>
      <c r="B148" s="62"/>
      <c r="C148" s="63"/>
      <c r="D148" s="64"/>
      <c r="E148" s="65"/>
      <c r="F148" s="61">
        <v>0.41666666666666702</v>
      </c>
      <c r="G148" s="62"/>
      <c r="H148" s="63"/>
      <c r="I148" s="64"/>
      <c r="J148" s="65"/>
      <c r="K148" s="61">
        <v>0.41666666666666702</v>
      </c>
      <c r="L148" s="62"/>
      <c r="M148" s="63"/>
      <c r="N148" s="64"/>
      <c r="O148" s="65"/>
    </row>
    <row r="149" spans="1:15" s="49" customFormat="1" ht="24" customHeight="1">
      <c r="A149" s="61">
        <v>0.4375</v>
      </c>
      <c r="B149" s="62"/>
      <c r="C149" s="63"/>
      <c r="D149" s="64"/>
      <c r="E149" s="65"/>
      <c r="F149" s="61">
        <v>0.4375</v>
      </c>
      <c r="G149" s="62"/>
      <c r="H149" s="63"/>
      <c r="I149" s="64"/>
      <c r="J149" s="65"/>
      <c r="K149" s="61">
        <v>0.4375</v>
      </c>
      <c r="L149" s="62"/>
      <c r="M149" s="63"/>
      <c r="N149" s="64"/>
      <c r="O149" s="65"/>
    </row>
    <row r="150" spans="1:15" s="49" customFormat="1" ht="24" customHeight="1">
      <c r="A150" s="61">
        <v>0.45833333333333298</v>
      </c>
      <c r="B150" s="62"/>
      <c r="C150" s="63"/>
      <c r="D150" s="64"/>
      <c r="E150" s="65"/>
      <c r="F150" s="61">
        <v>0.45833333333333298</v>
      </c>
      <c r="G150" s="62"/>
      <c r="H150" s="63"/>
      <c r="I150" s="64"/>
      <c r="J150" s="65"/>
      <c r="K150" s="61">
        <v>0.45833333333333298</v>
      </c>
      <c r="L150" s="62"/>
      <c r="M150" s="63"/>
      <c r="N150" s="64"/>
      <c r="O150" s="65"/>
    </row>
    <row r="151" spans="1:15" s="49" customFormat="1" ht="24" customHeight="1">
      <c r="A151" s="61">
        <v>0.47916666666666702</v>
      </c>
      <c r="B151" s="62"/>
      <c r="C151" s="63"/>
      <c r="D151" s="64"/>
      <c r="E151" s="65"/>
      <c r="F151" s="61">
        <v>0.47916666666666702</v>
      </c>
      <c r="G151" s="62"/>
      <c r="H151" s="63"/>
      <c r="I151" s="64"/>
      <c r="J151" s="65"/>
      <c r="K151" s="61">
        <v>0.47916666666666702</v>
      </c>
      <c r="L151" s="62"/>
      <c r="M151" s="63"/>
      <c r="N151" s="64"/>
      <c r="O151" s="65"/>
    </row>
    <row r="152" spans="1:15" s="49" customFormat="1" ht="24" customHeight="1">
      <c r="A152" s="61">
        <v>0.5</v>
      </c>
      <c r="B152" s="62"/>
      <c r="C152" s="63"/>
      <c r="D152" s="64"/>
      <c r="E152" s="65"/>
      <c r="F152" s="61">
        <v>0.5</v>
      </c>
      <c r="G152" s="62"/>
      <c r="H152" s="63"/>
      <c r="I152" s="64"/>
      <c r="J152" s="65"/>
      <c r="K152" s="61">
        <v>0.5</v>
      </c>
      <c r="L152" s="62"/>
      <c r="M152" s="63"/>
      <c r="N152" s="64"/>
      <c r="O152" s="65"/>
    </row>
    <row r="153" spans="1:15" s="49" customFormat="1" ht="24" customHeight="1">
      <c r="A153" s="61">
        <v>0.52083333333333304</v>
      </c>
      <c r="B153" s="62"/>
      <c r="C153" s="63"/>
      <c r="D153" s="64"/>
      <c r="E153" s="65"/>
      <c r="F153" s="61">
        <v>0.52083333333333304</v>
      </c>
      <c r="G153" s="62"/>
      <c r="H153" s="63"/>
      <c r="I153" s="64"/>
      <c r="J153" s="65"/>
      <c r="K153" s="61">
        <v>0.52083333333333304</v>
      </c>
      <c r="L153" s="62"/>
      <c r="M153" s="63"/>
      <c r="N153" s="64"/>
      <c r="O153" s="65"/>
    </row>
    <row r="154" spans="1:15" s="49" customFormat="1" ht="24" customHeight="1">
      <c r="A154" s="61">
        <v>0.54166666666666696</v>
      </c>
      <c r="B154" s="62"/>
      <c r="C154" s="63"/>
      <c r="D154" s="64"/>
      <c r="E154" s="65"/>
      <c r="F154" s="61">
        <v>0.54166666666666696</v>
      </c>
      <c r="G154" s="62"/>
      <c r="H154" s="63"/>
      <c r="I154" s="64"/>
      <c r="J154" s="65"/>
      <c r="K154" s="61">
        <v>0.54166666666666696</v>
      </c>
      <c r="L154" s="62"/>
      <c r="M154" s="63"/>
      <c r="N154" s="64"/>
      <c r="O154" s="65"/>
    </row>
    <row r="155" spans="1:15" s="49" customFormat="1" ht="24" customHeight="1">
      <c r="A155" s="61">
        <v>0.5625</v>
      </c>
      <c r="B155" s="62"/>
      <c r="C155" s="63"/>
      <c r="D155" s="64"/>
      <c r="E155" s="65"/>
      <c r="F155" s="61">
        <v>0.5625</v>
      </c>
      <c r="G155" s="62"/>
      <c r="H155" s="63"/>
      <c r="I155" s="64"/>
      <c r="J155" s="65"/>
      <c r="K155" s="61">
        <v>0.5625</v>
      </c>
      <c r="L155" s="62"/>
      <c r="M155" s="63"/>
      <c r="N155" s="64"/>
      <c r="O155" s="65"/>
    </row>
    <row r="156" spans="1:15" s="49" customFormat="1" ht="24" customHeight="1">
      <c r="A156" s="61">
        <v>0.58333333333333304</v>
      </c>
      <c r="B156" s="62"/>
      <c r="C156" s="63"/>
      <c r="D156" s="64"/>
      <c r="E156" s="65"/>
      <c r="F156" s="61">
        <v>0.58333333333333304</v>
      </c>
      <c r="G156" s="62"/>
      <c r="H156" s="63"/>
      <c r="I156" s="64"/>
      <c r="J156" s="65"/>
      <c r="K156" s="61">
        <v>0.58333333333333304</v>
      </c>
      <c r="L156" s="62"/>
      <c r="M156" s="63"/>
      <c r="N156" s="64"/>
      <c r="O156" s="65"/>
    </row>
    <row r="157" spans="1:15" s="49" customFormat="1" ht="24" customHeight="1">
      <c r="A157" s="61">
        <v>0.60416666666666696</v>
      </c>
      <c r="B157" s="62"/>
      <c r="C157" s="63"/>
      <c r="D157" s="64"/>
      <c r="E157" s="65"/>
      <c r="F157" s="61">
        <v>0.60416666666666696</v>
      </c>
      <c r="G157" s="62"/>
      <c r="H157" s="63"/>
      <c r="I157" s="64"/>
      <c r="J157" s="65"/>
      <c r="K157" s="61">
        <v>0.60416666666666696</v>
      </c>
      <c r="L157" s="62"/>
      <c r="M157" s="63"/>
      <c r="N157" s="64"/>
      <c r="O157" s="65"/>
    </row>
    <row r="158" spans="1:15" s="49" customFormat="1" ht="24" customHeight="1">
      <c r="A158" s="61">
        <v>0.625</v>
      </c>
      <c r="B158" s="62"/>
      <c r="C158" s="63"/>
      <c r="D158" s="64"/>
      <c r="E158" s="65"/>
      <c r="F158" s="61">
        <v>0.625</v>
      </c>
      <c r="G158" s="62"/>
      <c r="H158" s="63"/>
      <c r="I158" s="64"/>
      <c r="J158" s="65"/>
      <c r="K158" s="61">
        <v>0.625</v>
      </c>
      <c r="L158" s="62"/>
      <c r="M158" s="63"/>
      <c r="N158" s="64"/>
      <c r="O158" s="65"/>
    </row>
    <row r="159" spans="1:15" s="49" customFormat="1" ht="24" customHeight="1">
      <c r="A159" s="61">
        <v>0.64583333333333404</v>
      </c>
      <c r="B159" s="62"/>
      <c r="C159" s="63"/>
      <c r="D159" s="64"/>
      <c r="E159" s="65"/>
      <c r="F159" s="61">
        <v>0.64583333333333404</v>
      </c>
      <c r="G159" s="62"/>
      <c r="H159" s="63"/>
      <c r="I159" s="64"/>
      <c r="J159" s="65"/>
      <c r="K159" s="61">
        <v>0.64583333333333404</v>
      </c>
      <c r="L159" s="62"/>
      <c r="M159" s="63"/>
      <c r="N159" s="64"/>
      <c r="O159" s="65"/>
    </row>
    <row r="160" spans="1:15" s="49" customFormat="1" ht="24" customHeight="1">
      <c r="A160" s="61">
        <v>0.66666666666666696</v>
      </c>
      <c r="B160" s="62"/>
      <c r="C160" s="63"/>
      <c r="D160" s="64"/>
      <c r="E160" s="65"/>
      <c r="F160" s="61">
        <v>0.66666666666666696</v>
      </c>
      <c r="G160" s="62"/>
      <c r="H160" s="63"/>
      <c r="I160" s="64"/>
      <c r="J160" s="65"/>
      <c r="K160" s="61">
        <v>0.66666666666666696</v>
      </c>
      <c r="L160" s="62"/>
      <c r="M160" s="63"/>
      <c r="N160" s="64"/>
      <c r="O160" s="65"/>
    </row>
    <row r="161" spans="1:15" s="49" customFormat="1" ht="24" customHeight="1">
      <c r="A161" s="61">
        <v>0.6875</v>
      </c>
      <c r="B161" s="62"/>
      <c r="C161" s="63"/>
      <c r="D161" s="64"/>
      <c r="E161" s="65"/>
      <c r="F161" s="61">
        <v>0.6875</v>
      </c>
      <c r="G161" s="62"/>
      <c r="H161" s="63"/>
      <c r="I161" s="64"/>
      <c r="J161" s="65"/>
      <c r="K161" s="61">
        <v>0.6875</v>
      </c>
      <c r="L161" s="62"/>
      <c r="M161" s="63"/>
      <c r="N161" s="64"/>
      <c r="O161" s="65"/>
    </row>
    <row r="162" spans="1:15" s="49" customFormat="1" ht="24" customHeight="1" thickBot="1">
      <c r="A162" s="66">
        <v>0.70833333333333404</v>
      </c>
      <c r="B162" s="67"/>
      <c r="C162" s="68"/>
      <c r="D162" s="69"/>
      <c r="E162" s="70"/>
      <c r="F162" s="66">
        <v>0.70833333333333404</v>
      </c>
      <c r="G162" s="67"/>
      <c r="H162" s="68"/>
      <c r="I162" s="69"/>
      <c r="J162" s="70"/>
      <c r="K162" s="66">
        <v>0.70833333333333404</v>
      </c>
      <c r="L162" s="67"/>
      <c r="M162" s="68"/>
      <c r="N162" s="69"/>
      <c r="O162" s="70"/>
    </row>
    <row r="176" spans="1:15" ht="20.100000000000001">
      <c r="A176" s="141" t="str">
        <f>IF('Audit information'!$B$3&gt;5,"Audit Timetable - Day 6","DELETE TABLE")</f>
        <v>Audit Timetable - Day 6</v>
      </c>
      <c r="B176" s="141"/>
      <c r="C176" s="141"/>
      <c r="D176" s="141"/>
      <c r="E176" s="141"/>
    </row>
    <row r="177" spans="1:15" s="49" customFormat="1" ht="20.45" thickBot="1">
      <c r="A177" s="108"/>
      <c r="B177" s="109"/>
      <c r="C177" s="109"/>
      <c r="D177" s="77" t="s">
        <v>168</v>
      </c>
      <c r="E177" s="47" t="e">
        <f>IF('Audit information'!$B$3&gt;5,'Audit information'!$B$4+5,"DELETE TABLE")</f>
        <v>#VALUE!</v>
      </c>
      <c r="F177" s="109"/>
      <c r="G177" s="77" t="s">
        <v>168</v>
      </c>
      <c r="H177" s="47" t="e">
        <f>IF('Audit information'!$B$3&gt;5,'Audit information'!$B$4+5,"DELETE TABLE")</f>
        <v>#VALUE!</v>
      </c>
      <c r="I177" s="109"/>
      <c r="J177" s="109"/>
      <c r="K177" s="109"/>
      <c r="L177" s="77" t="s">
        <v>168</v>
      </c>
      <c r="M177" s="47" t="e">
        <f>IF('Audit information'!$B$3&gt;5,'Audit information'!$B$4+5,"DELETE TABLE")</f>
        <v>#VALUE!</v>
      </c>
      <c r="N177" s="100"/>
      <c r="O177" s="100"/>
    </row>
    <row r="178" spans="1:15" s="49" customFormat="1" ht="24" customHeight="1">
      <c r="A178" s="100"/>
      <c r="B178" s="50" t="s">
        <v>169</v>
      </c>
      <c r="C178" s="102" t="str">
        <f>'Audit information'!$B$8</f>
        <v>&lt;&lt;Lead auditor&gt;&gt;</v>
      </c>
      <c r="D178" s="51" t="s">
        <v>170</v>
      </c>
      <c r="E178" s="103" t="str">
        <f>'Audit information'!$B$10</f>
        <v>&lt;&lt;Team member 1&gt;&gt;</v>
      </c>
      <c r="F178" s="100"/>
      <c r="G178" s="50" t="str">
        <f>IF('Audit information'!$B$9&gt;1,"Team member:","DELETE COLUMN")</f>
        <v>Team member:</v>
      </c>
      <c r="H178" s="102" t="str">
        <f>IF('Audit information'!$B$9&gt;1,'Audit information'!$B$11,"DELETE COLUMN")</f>
        <v>&lt;&lt;Team member 2&gt;&gt;</v>
      </c>
      <c r="I178" s="51" t="str">
        <f>IF('Audit information'!$B$9&gt;2,"Team member:","DELETE COLUMN")</f>
        <v>Team member:</v>
      </c>
      <c r="J178" s="103" t="str">
        <f>IF('Audit information'!$B$9&gt;2,'Audit information'!$B$12,"DELETE COLUMN")</f>
        <v>&lt;&lt;Team member 3&gt;&gt;</v>
      </c>
      <c r="K178" s="100"/>
      <c r="L178" s="50" t="str">
        <f>IF('Audit information'!$B$9&gt;3,"Team member:","DELETE COLUMN")</f>
        <v>Team member:</v>
      </c>
      <c r="M178" s="102" t="str">
        <f>IF('Audit information'!$B$9&gt;3,'Audit information'!$B$13,"DELETE COLUMN")</f>
        <v>&lt;&lt;Team member 4&gt;&gt;</v>
      </c>
      <c r="N178" s="51" t="str">
        <f>IF('Audit information'!$B$9&gt;4,"Team member:","DELETE COLUMN")</f>
        <v>Team member:</v>
      </c>
      <c r="O178" s="103" t="str">
        <f>IF('Audit information'!$B$9&gt;4,'Audit information'!$B$14,"DELETE COLUMN")</f>
        <v>&lt;&lt;Team member 5&gt;&gt;</v>
      </c>
    </row>
    <row r="179" spans="1:15" s="49" customFormat="1" ht="24" customHeight="1" thickBot="1">
      <c r="A179" s="100"/>
      <c r="B179" s="52" t="s">
        <v>171</v>
      </c>
      <c r="C179" s="53" t="s">
        <v>172</v>
      </c>
      <c r="D179" s="54" t="s">
        <v>171</v>
      </c>
      <c r="E179" s="55" t="s">
        <v>172</v>
      </c>
      <c r="F179" s="100"/>
      <c r="G179" s="52" t="s">
        <v>171</v>
      </c>
      <c r="H179" s="53" t="s">
        <v>172</v>
      </c>
      <c r="I179" s="54" t="s">
        <v>171</v>
      </c>
      <c r="J179" s="55" t="s">
        <v>172</v>
      </c>
      <c r="K179" s="100"/>
      <c r="L179" s="52" t="s">
        <v>171</v>
      </c>
      <c r="M179" s="53" t="s">
        <v>172</v>
      </c>
      <c r="N179" s="54" t="s">
        <v>171</v>
      </c>
      <c r="O179" s="55" t="s">
        <v>172</v>
      </c>
    </row>
    <row r="180" spans="1:15" s="49" customFormat="1" ht="24" customHeight="1">
      <c r="A180" s="56">
        <v>0.33333333333333331</v>
      </c>
      <c r="B180" s="57"/>
      <c r="C180" s="58"/>
      <c r="D180" s="59"/>
      <c r="E180" s="60"/>
      <c r="F180" s="56">
        <v>0.33333333333333331</v>
      </c>
      <c r="G180" s="57"/>
      <c r="H180" s="58"/>
      <c r="I180" s="59"/>
      <c r="J180" s="60"/>
      <c r="K180" s="56">
        <v>0.33333333333333331</v>
      </c>
      <c r="L180" s="57"/>
      <c r="M180" s="58"/>
      <c r="N180" s="59"/>
      <c r="O180" s="60"/>
    </row>
    <row r="181" spans="1:15" s="49" customFormat="1" ht="24" customHeight="1">
      <c r="A181" s="61">
        <v>0.35416666666666669</v>
      </c>
      <c r="B181" s="62"/>
      <c r="C181" s="63"/>
      <c r="D181" s="64"/>
      <c r="E181" s="65"/>
      <c r="F181" s="61">
        <v>0.35416666666666669</v>
      </c>
      <c r="G181" s="62"/>
      <c r="H181" s="63"/>
      <c r="I181" s="64"/>
      <c r="J181" s="65"/>
      <c r="K181" s="61">
        <v>0.35416666666666669</v>
      </c>
      <c r="L181" s="62"/>
      <c r="M181" s="63"/>
      <c r="N181" s="64"/>
      <c r="O181" s="65"/>
    </row>
    <row r="182" spans="1:15" s="49" customFormat="1" ht="24" customHeight="1">
      <c r="A182" s="61">
        <v>0.375</v>
      </c>
      <c r="B182" s="62"/>
      <c r="C182" s="63"/>
      <c r="D182" s="64"/>
      <c r="E182" s="65"/>
      <c r="F182" s="61">
        <v>0.375</v>
      </c>
      <c r="G182" s="62"/>
      <c r="H182" s="63"/>
      <c r="I182" s="64"/>
      <c r="J182" s="65"/>
      <c r="K182" s="61">
        <v>0.375</v>
      </c>
      <c r="L182" s="62"/>
      <c r="M182" s="63"/>
      <c r="N182" s="64"/>
      <c r="O182" s="65"/>
    </row>
    <row r="183" spans="1:15" s="49" customFormat="1" ht="24" customHeight="1">
      <c r="A183" s="61">
        <v>0.39583333333333331</v>
      </c>
      <c r="B183" s="62"/>
      <c r="C183" s="63"/>
      <c r="D183" s="64"/>
      <c r="E183" s="65"/>
      <c r="F183" s="61">
        <v>0.39583333333333331</v>
      </c>
      <c r="G183" s="62"/>
      <c r="H183" s="63"/>
      <c r="I183" s="64"/>
      <c r="J183" s="65"/>
      <c r="K183" s="61">
        <v>0.39583333333333331</v>
      </c>
      <c r="L183" s="62"/>
      <c r="M183" s="63"/>
      <c r="N183" s="64"/>
      <c r="O183" s="65"/>
    </row>
    <row r="184" spans="1:15" s="49" customFormat="1" ht="24" customHeight="1">
      <c r="A184" s="61">
        <v>0.41666666666666702</v>
      </c>
      <c r="B184" s="62"/>
      <c r="C184" s="63"/>
      <c r="D184" s="64"/>
      <c r="E184" s="65"/>
      <c r="F184" s="61">
        <v>0.41666666666666702</v>
      </c>
      <c r="G184" s="62"/>
      <c r="H184" s="63"/>
      <c r="I184" s="64"/>
      <c r="J184" s="65"/>
      <c r="K184" s="61">
        <v>0.41666666666666702</v>
      </c>
      <c r="L184" s="62"/>
      <c r="M184" s="63"/>
      <c r="N184" s="64"/>
      <c r="O184" s="65"/>
    </row>
    <row r="185" spans="1:15" s="49" customFormat="1" ht="24" customHeight="1">
      <c r="A185" s="61">
        <v>0.4375</v>
      </c>
      <c r="B185" s="62"/>
      <c r="C185" s="63"/>
      <c r="D185" s="64"/>
      <c r="E185" s="65"/>
      <c r="F185" s="61">
        <v>0.4375</v>
      </c>
      <c r="G185" s="62"/>
      <c r="H185" s="63"/>
      <c r="I185" s="64"/>
      <c r="J185" s="65"/>
      <c r="K185" s="61">
        <v>0.4375</v>
      </c>
      <c r="L185" s="62"/>
      <c r="M185" s="63"/>
      <c r="N185" s="64"/>
      <c r="O185" s="65"/>
    </row>
    <row r="186" spans="1:15" s="49" customFormat="1" ht="24" customHeight="1">
      <c r="A186" s="61">
        <v>0.45833333333333298</v>
      </c>
      <c r="B186" s="62"/>
      <c r="C186" s="63"/>
      <c r="D186" s="64"/>
      <c r="E186" s="65"/>
      <c r="F186" s="61">
        <v>0.45833333333333298</v>
      </c>
      <c r="G186" s="62"/>
      <c r="H186" s="63"/>
      <c r="I186" s="64"/>
      <c r="J186" s="65"/>
      <c r="K186" s="61">
        <v>0.45833333333333298</v>
      </c>
      <c r="L186" s="62"/>
      <c r="M186" s="63"/>
      <c r="N186" s="64"/>
      <c r="O186" s="65"/>
    </row>
    <row r="187" spans="1:15" s="49" customFormat="1" ht="24" customHeight="1">
      <c r="A187" s="61">
        <v>0.47916666666666702</v>
      </c>
      <c r="B187" s="62"/>
      <c r="C187" s="63"/>
      <c r="D187" s="64"/>
      <c r="E187" s="65"/>
      <c r="F187" s="61">
        <v>0.47916666666666702</v>
      </c>
      <c r="G187" s="62"/>
      <c r="H187" s="63"/>
      <c r="I187" s="64"/>
      <c r="J187" s="65"/>
      <c r="K187" s="61">
        <v>0.47916666666666702</v>
      </c>
      <c r="L187" s="62"/>
      <c r="M187" s="63"/>
      <c r="N187" s="64"/>
      <c r="O187" s="65"/>
    </row>
    <row r="188" spans="1:15" s="49" customFormat="1" ht="24" customHeight="1">
      <c r="A188" s="61">
        <v>0.5</v>
      </c>
      <c r="B188" s="62"/>
      <c r="C188" s="63"/>
      <c r="D188" s="64"/>
      <c r="E188" s="65"/>
      <c r="F188" s="61">
        <v>0.5</v>
      </c>
      <c r="G188" s="62"/>
      <c r="H188" s="63"/>
      <c r="I188" s="64"/>
      <c r="J188" s="65"/>
      <c r="K188" s="61">
        <v>0.5</v>
      </c>
      <c r="L188" s="62"/>
      <c r="M188" s="63"/>
      <c r="N188" s="64"/>
      <c r="O188" s="65"/>
    </row>
    <row r="189" spans="1:15" s="49" customFormat="1" ht="24" customHeight="1">
      <c r="A189" s="61">
        <v>0.52083333333333304</v>
      </c>
      <c r="B189" s="62"/>
      <c r="C189" s="63"/>
      <c r="D189" s="64"/>
      <c r="E189" s="65"/>
      <c r="F189" s="61">
        <v>0.52083333333333304</v>
      </c>
      <c r="G189" s="62"/>
      <c r="H189" s="63"/>
      <c r="I189" s="64"/>
      <c r="J189" s="65"/>
      <c r="K189" s="61">
        <v>0.52083333333333304</v>
      </c>
      <c r="L189" s="62"/>
      <c r="M189" s="63"/>
      <c r="N189" s="64"/>
      <c r="O189" s="65"/>
    </row>
    <row r="190" spans="1:15" s="49" customFormat="1" ht="24" customHeight="1">
      <c r="A190" s="61">
        <v>0.54166666666666696</v>
      </c>
      <c r="B190" s="62"/>
      <c r="C190" s="63"/>
      <c r="D190" s="64"/>
      <c r="E190" s="65"/>
      <c r="F190" s="61">
        <v>0.54166666666666696</v>
      </c>
      <c r="G190" s="62"/>
      <c r="H190" s="63"/>
      <c r="I190" s="64"/>
      <c r="J190" s="65"/>
      <c r="K190" s="61">
        <v>0.54166666666666696</v>
      </c>
      <c r="L190" s="62"/>
      <c r="M190" s="63"/>
      <c r="N190" s="64"/>
      <c r="O190" s="65"/>
    </row>
    <row r="191" spans="1:15" s="49" customFormat="1" ht="24" customHeight="1">
      <c r="A191" s="61">
        <v>0.5625</v>
      </c>
      <c r="B191" s="62"/>
      <c r="C191" s="63"/>
      <c r="D191" s="64"/>
      <c r="E191" s="65"/>
      <c r="F191" s="61">
        <v>0.5625</v>
      </c>
      <c r="G191" s="62"/>
      <c r="H191" s="63"/>
      <c r="I191" s="64"/>
      <c r="J191" s="65"/>
      <c r="K191" s="61">
        <v>0.5625</v>
      </c>
      <c r="L191" s="62"/>
      <c r="M191" s="63"/>
      <c r="N191" s="64"/>
      <c r="O191" s="65"/>
    </row>
    <row r="192" spans="1:15" s="49" customFormat="1" ht="24" customHeight="1">
      <c r="A192" s="61">
        <v>0.58333333333333304</v>
      </c>
      <c r="B192" s="62"/>
      <c r="C192" s="63"/>
      <c r="D192" s="64"/>
      <c r="E192" s="65"/>
      <c r="F192" s="61">
        <v>0.58333333333333304</v>
      </c>
      <c r="G192" s="62"/>
      <c r="H192" s="63"/>
      <c r="I192" s="64"/>
      <c r="J192" s="65"/>
      <c r="K192" s="61">
        <v>0.58333333333333304</v>
      </c>
      <c r="L192" s="62"/>
      <c r="M192" s="63"/>
      <c r="N192" s="64"/>
      <c r="O192" s="65"/>
    </row>
    <row r="193" spans="1:15" s="49" customFormat="1" ht="24" customHeight="1">
      <c r="A193" s="61">
        <v>0.60416666666666696</v>
      </c>
      <c r="B193" s="62"/>
      <c r="C193" s="63"/>
      <c r="D193" s="64"/>
      <c r="E193" s="65"/>
      <c r="F193" s="61">
        <v>0.60416666666666696</v>
      </c>
      <c r="G193" s="62"/>
      <c r="H193" s="63"/>
      <c r="I193" s="64"/>
      <c r="J193" s="65"/>
      <c r="K193" s="61">
        <v>0.60416666666666696</v>
      </c>
      <c r="L193" s="62"/>
      <c r="M193" s="63"/>
      <c r="N193" s="64"/>
      <c r="O193" s="65"/>
    </row>
    <row r="194" spans="1:15" s="49" customFormat="1" ht="24" customHeight="1">
      <c r="A194" s="61">
        <v>0.625</v>
      </c>
      <c r="B194" s="62"/>
      <c r="C194" s="63"/>
      <c r="D194" s="64"/>
      <c r="E194" s="65"/>
      <c r="F194" s="61">
        <v>0.625</v>
      </c>
      <c r="G194" s="62"/>
      <c r="H194" s="63"/>
      <c r="I194" s="64"/>
      <c r="J194" s="65"/>
      <c r="K194" s="61">
        <v>0.625</v>
      </c>
      <c r="L194" s="62"/>
      <c r="M194" s="63"/>
      <c r="N194" s="64"/>
      <c r="O194" s="65"/>
    </row>
    <row r="195" spans="1:15" s="49" customFormat="1" ht="24" customHeight="1">
      <c r="A195" s="61">
        <v>0.64583333333333404</v>
      </c>
      <c r="B195" s="62"/>
      <c r="C195" s="63"/>
      <c r="D195" s="64"/>
      <c r="E195" s="65"/>
      <c r="F195" s="61">
        <v>0.64583333333333404</v>
      </c>
      <c r="G195" s="62"/>
      <c r="H195" s="63"/>
      <c r="I195" s="64"/>
      <c r="J195" s="65"/>
      <c r="K195" s="61">
        <v>0.64583333333333404</v>
      </c>
      <c r="L195" s="62"/>
      <c r="M195" s="63"/>
      <c r="N195" s="64"/>
      <c r="O195" s="65"/>
    </row>
    <row r="196" spans="1:15" s="49" customFormat="1" ht="24" customHeight="1">
      <c r="A196" s="61">
        <v>0.66666666666666696</v>
      </c>
      <c r="B196" s="62"/>
      <c r="C196" s="63"/>
      <c r="D196" s="64"/>
      <c r="E196" s="65"/>
      <c r="F196" s="61">
        <v>0.66666666666666696</v>
      </c>
      <c r="G196" s="62"/>
      <c r="H196" s="63"/>
      <c r="I196" s="64"/>
      <c r="J196" s="65"/>
      <c r="K196" s="61">
        <v>0.66666666666666696</v>
      </c>
      <c r="L196" s="62"/>
      <c r="M196" s="63"/>
      <c r="N196" s="64"/>
      <c r="O196" s="65"/>
    </row>
    <row r="197" spans="1:15" s="49" customFormat="1" ht="24" customHeight="1">
      <c r="A197" s="61">
        <v>0.6875</v>
      </c>
      <c r="B197" s="62"/>
      <c r="C197" s="63"/>
      <c r="D197" s="64"/>
      <c r="E197" s="65"/>
      <c r="F197" s="61">
        <v>0.6875</v>
      </c>
      <c r="G197" s="62"/>
      <c r="H197" s="63"/>
      <c r="I197" s="64"/>
      <c r="J197" s="65"/>
      <c r="K197" s="61">
        <v>0.6875</v>
      </c>
      <c r="L197" s="62"/>
      <c r="M197" s="63"/>
      <c r="N197" s="64"/>
      <c r="O197" s="65"/>
    </row>
    <row r="198" spans="1:15" s="49" customFormat="1" ht="24" customHeight="1" thickBot="1">
      <c r="A198" s="66">
        <v>0.70833333333333404</v>
      </c>
      <c r="B198" s="67"/>
      <c r="C198" s="68"/>
      <c r="D198" s="69"/>
      <c r="E198" s="70"/>
      <c r="F198" s="66">
        <v>0.70833333333333404</v>
      </c>
      <c r="G198" s="67"/>
      <c r="H198" s="68"/>
      <c r="I198" s="69"/>
      <c r="J198" s="70"/>
      <c r="K198" s="66">
        <v>0.70833333333333404</v>
      </c>
      <c r="L198" s="67"/>
      <c r="M198" s="68"/>
      <c r="N198" s="69"/>
      <c r="O198" s="70"/>
    </row>
    <row r="212" spans="1:15" ht="20.100000000000001">
      <c r="A212" s="141" t="str">
        <f>IF('Audit information'!$B$3&gt;6,"Audit Timetable - Day 7","DELETE TABLE")</f>
        <v>Audit Timetable - Day 7</v>
      </c>
      <c r="B212" s="141"/>
      <c r="C212" s="141"/>
      <c r="D212" s="141"/>
      <c r="E212" s="141"/>
    </row>
    <row r="213" spans="1:15" ht="20.45" thickBot="1">
      <c r="A213" s="108"/>
      <c r="B213" s="109"/>
      <c r="C213" s="109"/>
      <c r="D213" s="77" t="s">
        <v>168</v>
      </c>
      <c r="E213" s="47" t="e">
        <f>IF('Audit information'!$B$3&gt;6,'Audit information'!$B$4+6,"DELETE TABLE")</f>
        <v>#VALUE!</v>
      </c>
      <c r="F213" s="109"/>
      <c r="G213" s="77" t="s">
        <v>168</v>
      </c>
      <c r="H213" s="47" t="e">
        <f>IF('Audit information'!$B$3&gt;6,'Audit information'!$B$4+6,"DELETE TABLE")</f>
        <v>#VALUE!</v>
      </c>
      <c r="I213" s="109"/>
      <c r="J213" s="109"/>
      <c r="K213" s="109"/>
      <c r="L213" s="77" t="s">
        <v>168</v>
      </c>
      <c r="M213" s="47" t="e">
        <f>IF('Audit information'!$B$3&gt;6,'Audit information'!$B$4+6,"DELETE TABLE")</f>
        <v>#VALUE!</v>
      </c>
    </row>
    <row r="214" spans="1:15" ht="24" customHeight="1">
      <c r="A214" s="100"/>
      <c r="B214" s="50" t="s">
        <v>169</v>
      </c>
      <c r="C214" s="102" t="str">
        <f>'Audit information'!$B$8</f>
        <v>&lt;&lt;Lead auditor&gt;&gt;</v>
      </c>
      <c r="D214" s="51" t="s">
        <v>170</v>
      </c>
      <c r="E214" s="103" t="str">
        <f>'Audit information'!$B$10</f>
        <v>&lt;&lt;Team member 1&gt;&gt;</v>
      </c>
      <c r="F214" s="100"/>
      <c r="G214" s="50" t="str">
        <f>IF('Audit information'!$B$9&gt;1,"Team member:","DELETE COLUMN")</f>
        <v>Team member:</v>
      </c>
      <c r="H214" s="102" t="str">
        <f>IF('Audit information'!$B$9&gt;1,'Audit information'!$B$11,"DELETE COLUMN")</f>
        <v>&lt;&lt;Team member 2&gt;&gt;</v>
      </c>
      <c r="I214" s="51" t="str">
        <f>IF('Audit information'!$B$9&gt;2,"Team member:","DELETE COLUMN")</f>
        <v>Team member:</v>
      </c>
      <c r="J214" s="103" t="str">
        <f>IF('Audit information'!$B$9&gt;2,'Audit information'!$B$12,"DELETE COLUMN")</f>
        <v>&lt;&lt;Team member 3&gt;&gt;</v>
      </c>
      <c r="K214" s="100"/>
      <c r="L214" s="50" t="str">
        <f>IF('Audit information'!$B$9&gt;3,"Team member:","DELETE COLUMN")</f>
        <v>Team member:</v>
      </c>
      <c r="M214" s="102" t="str">
        <f>IF('Audit information'!$B$9&gt;3,'Audit information'!$B$13,"DELETE COLUMN")</f>
        <v>&lt;&lt;Team member 4&gt;&gt;</v>
      </c>
      <c r="N214" s="51" t="str">
        <f>IF('Audit information'!$B$9&gt;4,"Team member:","DELETE COLUMN")</f>
        <v>Team member:</v>
      </c>
      <c r="O214" s="103" t="str">
        <f>IF('Audit information'!$B$9&gt;4,'Audit information'!$B$14,"DELETE COLUMN")</f>
        <v>&lt;&lt;Team member 5&gt;&gt;</v>
      </c>
    </row>
    <row r="215" spans="1:15" ht="24" customHeight="1" thickBot="1">
      <c r="A215" s="100"/>
      <c r="B215" s="52" t="s">
        <v>171</v>
      </c>
      <c r="C215" s="53" t="s">
        <v>172</v>
      </c>
      <c r="D215" s="54" t="s">
        <v>171</v>
      </c>
      <c r="E215" s="55" t="s">
        <v>172</v>
      </c>
      <c r="F215" s="100"/>
      <c r="G215" s="52" t="s">
        <v>171</v>
      </c>
      <c r="H215" s="53" t="s">
        <v>172</v>
      </c>
      <c r="I215" s="54" t="s">
        <v>171</v>
      </c>
      <c r="J215" s="55" t="s">
        <v>172</v>
      </c>
      <c r="K215" s="100"/>
      <c r="L215" s="52" t="s">
        <v>171</v>
      </c>
      <c r="M215" s="53" t="s">
        <v>172</v>
      </c>
      <c r="N215" s="54" t="s">
        <v>171</v>
      </c>
      <c r="O215" s="55" t="s">
        <v>172</v>
      </c>
    </row>
    <row r="216" spans="1:15" ht="24" customHeight="1">
      <c r="A216" s="56">
        <v>0.33333333333333331</v>
      </c>
      <c r="B216" s="57"/>
      <c r="C216" s="58"/>
      <c r="D216" s="59"/>
      <c r="E216" s="60"/>
      <c r="F216" s="56">
        <v>0.33333333333333331</v>
      </c>
      <c r="G216" s="57"/>
      <c r="H216" s="58"/>
      <c r="I216" s="59"/>
      <c r="J216" s="60"/>
      <c r="K216" s="56">
        <v>0.33333333333333331</v>
      </c>
      <c r="L216" s="57"/>
      <c r="M216" s="58"/>
      <c r="N216" s="59"/>
      <c r="O216" s="60"/>
    </row>
    <row r="217" spans="1:15" ht="24" customHeight="1">
      <c r="A217" s="61">
        <v>0.35416666666666669</v>
      </c>
      <c r="B217" s="62"/>
      <c r="C217" s="63"/>
      <c r="D217" s="64"/>
      <c r="E217" s="65"/>
      <c r="F217" s="61">
        <v>0.35416666666666669</v>
      </c>
      <c r="G217" s="62"/>
      <c r="H217" s="63"/>
      <c r="I217" s="64"/>
      <c r="J217" s="65"/>
      <c r="K217" s="61">
        <v>0.35416666666666669</v>
      </c>
      <c r="L217" s="62"/>
      <c r="M217" s="63"/>
      <c r="N217" s="64"/>
      <c r="O217" s="65"/>
    </row>
    <row r="218" spans="1:15" ht="24" customHeight="1">
      <c r="A218" s="61">
        <v>0.375</v>
      </c>
      <c r="B218" s="62"/>
      <c r="C218" s="63"/>
      <c r="D218" s="64"/>
      <c r="E218" s="65"/>
      <c r="F218" s="61">
        <v>0.375</v>
      </c>
      <c r="G218" s="62"/>
      <c r="H218" s="63"/>
      <c r="I218" s="64"/>
      <c r="J218" s="65"/>
      <c r="K218" s="61">
        <v>0.375</v>
      </c>
      <c r="L218" s="62"/>
      <c r="M218" s="63"/>
      <c r="N218" s="64"/>
      <c r="O218" s="65"/>
    </row>
    <row r="219" spans="1:15" ht="24" customHeight="1">
      <c r="A219" s="61">
        <v>0.39583333333333331</v>
      </c>
      <c r="B219" s="62"/>
      <c r="C219" s="63"/>
      <c r="D219" s="64"/>
      <c r="E219" s="65"/>
      <c r="F219" s="61">
        <v>0.39583333333333331</v>
      </c>
      <c r="G219" s="62"/>
      <c r="H219" s="63"/>
      <c r="I219" s="64"/>
      <c r="J219" s="65"/>
      <c r="K219" s="61">
        <v>0.39583333333333331</v>
      </c>
      <c r="L219" s="62"/>
      <c r="M219" s="63"/>
      <c r="N219" s="64"/>
      <c r="O219" s="65"/>
    </row>
    <row r="220" spans="1:15" ht="24" customHeight="1">
      <c r="A220" s="61">
        <v>0.41666666666666702</v>
      </c>
      <c r="B220" s="62"/>
      <c r="C220" s="63"/>
      <c r="D220" s="64"/>
      <c r="E220" s="65"/>
      <c r="F220" s="61">
        <v>0.41666666666666702</v>
      </c>
      <c r="G220" s="62"/>
      <c r="H220" s="63"/>
      <c r="I220" s="64"/>
      <c r="J220" s="65"/>
      <c r="K220" s="61">
        <v>0.41666666666666702</v>
      </c>
      <c r="L220" s="62"/>
      <c r="M220" s="63"/>
      <c r="N220" s="64"/>
      <c r="O220" s="65"/>
    </row>
    <row r="221" spans="1:15" ht="24" customHeight="1">
      <c r="A221" s="61">
        <v>0.4375</v>
      </c>
      <c r="B221" s="62"/>
      <c r="C221" s="63"/>
      <c r="D221" s="64"/>
      <c r="E221" s="65"/>
      <c r="F221" s="61">
        <v>0.4375</v>
      </c>
      <c r="G221" s="62"/>
      <c r="H221" s="63"/>
      <c r="I221" s="64"/>
      <c r="J221" s="65"/>
      <c r="K221" s="61">
        <v>0.4375</v>
      </c>
      <c r="L221" s="62"/>
      <c r="M221" s="63"/>
      <c r="N221" s="64"/>
      <c r="O221" s="65"/>
    </row>
    <row r="222" spans="1:15" ht="24" customHeight="1">
      <c r="A222" s="61">
        <v>0.45833333333333298</v>
      </c>
      <c r="B222" s="62"/>
      <c r="C222" s="63"/>
      <c r="D222" s="64"/>
      <c r="E222" s="65"/>
      <c r="F222" s="61">
        <v>0.45833333333333298</v>
      </c>
      <c r="G222" s="62"/>
      <c r="H222" s="63"/>
      <c r="I222" s="64"/>
      <c r="J222" s="65"/>
      <c r="K222" s="61">
        <v>0.45833333333333298</v>
      </c>
      <c r="L222" s="62"/>
      <c r="M222" s="63"/>
      <c r="N222" s="64"/>
      <c r="O222" s="65"/>
    </row>
    <row r="223" spans="1:15" ht="24" customHeight="1">
      <c r="A223" s="61">
        <v>0.47916666666666702</v>
      </c>
      <c r="B223" s="62"/>
      <c r="C223" s="63"/>
      <c r="D223" s="64"/>
      <c r="E223" s="65"/>
      <c r="F223" s="61">
        <v>0.47916666666666702</v>
      </c>
      <c r="G223" s="62"/>
      <c r="H223" s="63"/>
      <c r="I223" s="64"/>
      <c r="J223" s="65"/>
      <c r="K223" s="61">
        <v>0.47916666666666702</v>
      </c>
      <c r="L223" s="62"/>
      <c r="M223" s="63"/>
      <c r="N223" s="64"/>
      <c r="O223" s="65"/>
    </row>
    <row r="224" spans="1:15" ht="24" customHeight="1">
      <c r="A224" s="61">
        <v>0.5</v>
      </c>
      <c r="B224" s="62"/>
      <c r="C224" s="63"/>
      <c r="D224" s="64"/>
      <c r="E224" s="65"/>
      <c r="F224" s="61">
        <v>0.5</v>
      </c>
      <c r="G224" s="62"/>
      <c r="H224" s="63"/>
      <c r="I224" s="64"/>
      <c r="J224" s="65"/>
      <c r="K224" s="61">
        <v>0.5</v>
      </c>
      <c r="L224" s="62"/>
      <c r="M224" s="63"/>
      <c r="N224" s="64"/>
      <c r="O224" s="65"/>
    </row>
    <row r="225" spans="1:15" ht="24" customHeight="1">
      <c r="A225" s="61">
        <v>0.52083333333333304</v>
      </c>
      <c r="B225" s="62"/>
      <c r="C225" s="63"/>
      <c r="D225" s="64"/>
      <c r="E225" s="65"/>
      <c r="F225" s="61">
        <v>0.52083333333333304</v>
      </c>
      <c r="G225" s="62"/>
      <c r="H225" s="63"/>
      <c r="I225" s="64"/>
      <c r="J225" s="65"/>
      <c r="K225" s="61">
        <v>0.52083333333333304</v>
      </c>
      <c r="L225" s="62"/>
      <c r="M225" s="63"/>
      <c r="N225" s="64"/>
      <c r="O225" s="65"/>
    </row>
    <row r="226" spans="1:15" ht="24" customHeight="1">
      <c r="A226" s="61">
        <v>0.54166666666666696</v>
      </c>
      <c r="B226" s="62"/>
      <c r="C226" s="63"/>
      <c r="D226" s="64"/>
      <c r="E226" s="65"/>
      <c r="F226" s="61">
        <v>0.54166666666666696</v>
      </c>
      <c r="G226" s="62"/>
      <c r="H226" s="63"/>
      <c r="I226" s="64"/>
      <c r="J226" s="65"/>
      <c r="K226" s="61">
        <v>0.54166666666666696</v>
      </c>
      <c r="L226" s="62"/>
      <c r="M226" s="63"/>
      <c r="N226" s="64"/>
      <c r="O226" s="65"/>
    </row>
    <row r="227" spans="1:15" ht="24" customHeight="1">
      <c r="A227" s="61">
        <v>0.5625</v>
      </c>
      <c r="B227" s="62"/>
      <c r="C227" s="63"/>
      <c r="D227" s="64"/>
      <c r="E227" s="65"/>
      <c r="F227" s="61">
        <v>0.5625</v>
      </c>
      <c r="G227" s="62"/>
      <c r="H227" s="63"/>
      <c r="I227" s="64"/>
      <c r="J227" s="65"/>
      <c r="K227" s="61">
        <v>0.5625</v>
      </c>
      <c r="L227" s="62"/>
      <c r="M227" s="63"/>
      <c r="N227" s="64"/>
      <c r="O227" s="65"/>
    </row>
    <row r="228" spans="1:15" ht="24" customHeight="1">
      <c r="A228" s="61">
        <v>0.58333333333333304</v>
      </c>
      <c r="B228" s="62"/>
      <c r="C228" s="63"/>
      <c r="D228" s="64"/>
      <c r="E228" s="65"/>
      <c r="F228" s="61">
        <v>0.58333333333333304</v>
      </c>
      <c r="G228" s="62"/>
      <c r="H228" s="63"/>
      <c r="I228" s="64"/>
      <c r="J228" s="65"/>
      <c r="K228" s="61">
        <v>0.58333333333333304</v>
      </c>
      <c r="L228" s="62"/>
      <c r="M228" s="63"/>
      <c r="N228" s="64"/>
      <c r="O228" s="65"/>
    </row>
    <row r="229" spans="1:15" ht="24" customHeight="1">
      <c r="A229" s="61">
        <v>0.60416666666666696</v>
      </c>
      <c r="B229" s="62"/>
      <c r="C229" s="63"/>
      <c r="D229" s="64"/>
      <c r="E229" s="65"/>
      <c r="F229" s="61">
        <v>0.60416666666666696</v>
      </c>
      <c r="G229" s="62"/>
      <c r="H229" s="63"/>
      <c r="I229" s="64"/>
      <c r="J229" s="65"/>
      <c r="K229" s="61">
        <v>0.60416666666666696</v>
      </c>
      <c r="L229" s="62"/>
      <c r="M229" s="63"/>
      <c r="N229" s="64"/>
      <c r="O229" s="65"/>
    </row>
    <row r="230" spans="1:15" ht="24" customHeight="1">
      <c r="A230" s="61">
        <v>0.625</v>
      </c>
      <c r="B230" s="62"/>
      <c r="C230" s="63"/>
      <c r="D230" s="64"/>
      <c r="E230" s="65"/>
      <c r="F230" s="61">
        <v>0.625</v>
      </c>
      <c r="G230" s="62"/>
      <c r="H230" s="63"/>
      <c r="I230" s="64"/>
      <c r="J230" s="65"/>
      <c r="K230" s="61">
        <v>0.625</v>
      </c>
      <c r="L230" s="62"/>
      <c r="M230" s="63"/>
      <c r="N230" s="64"/>
      <c r="O230" s="65"/>
    </row>
    <row r="231" spans="1:15" ht="24" customHeight="1">
      <c r="A231" s="61">
        <v>0.64583333333333404</v>
      </c>
      <c r="B231" s="62"/>
      <c r="C231" s="63"/>
      <c r="D231" s="64"/>
      <c r="E231" s="65"/>
      <c r="F231" s="61">
        <v>0.64583333333333404</v>
      </c>
      <c r="G231" s="62"/>
      <c r="H231" s="63"/>
      <c r="I231" s="64"/>
      <c r="J231" s="65"/>
      <c r="K231" s="61">
        <v>0.64583333333333404</v>
      </c>
      <c r="L231" s="62"/>
      <c r="M231" s="63"/>
      <c r="N231" s="64"/>
      <c r="O231" s="65"/>
    </row>
    <row r="232" spans="1:15" ht="24" customHeight="1">
      <c r="A232" s="61">
        <v>0.66666666666666696</v>
      </c>
      <c r="B232" s="62"/>
      <c r="C232" s="63"/>
      <c r="D232" s="64"/>
      <c r="E232" s="65"/>
      <c r="F232" s="61">
        <v>0.66666666666666696</v>
      </c>
      <c r="G232" s="62"/>
      <c r="H232" s="63"/>
      <c r="I232" s="64"/>
      <c r="J232" s="65"/>
      <c r="K232" s="61">
        <v>0.66666666666666696</v>
      </c>
      <c r="L232" s="62"/>
      <c r="M232" s="63"/>
      <c r="N232" s="64"/>
      <c r="O232" s="65"/>
    </row>
    <row r="233" spans="1:15" ht="24" customHeight="1">
      <c r="A233" s="61">
        <v>0.6875</v>
      </c>
      <c r="B233" s="62"/>
      <c r="C233" s="63"/>
      <c r="D233" s="64"/>
      <c r="E233" s="65"/>
      <c r="F233" s="61">
        <v>0.6875</v>
      </c>
      <c r="G233" s="62"/>
      <c r="H233" s="63"/>
      <c r="I233" s="64"/>
      <c r="J233" s="65"/>
      <c r="K233" s="61">
        <v>0.6875</v>
      </c>
      <c r="L233" s="62"/>
      <c r="M233" s="63"/>
      <c r="N233" s="64"/>
      <c r="O233" s="65"/>
    </row>
    <row r="234" spans="1:15" ht="24" customHeight="1" thickBot="1">
      <c r="A234" s="66">
        <v>0.70833333333333404</v>
      </c>
      <c r="B234" s="67"/>
      <c r="C234" s="68"/>
      <c r="D234" s="69"/>
      <c r="E234" s="70"/>
      <c r="F234" s="66">
        <v>0.70833333333333404</v>
      </c>
      <c r="G234" s="67"/>
      <c r="H234" s="68"/>
      <c r="I234" s="69"/>
      <c r="J234" s="70"/>
      <c r="K234" s="66">
        <v>0.70833333333333404</v>
      </c>
      <c r="L234" s="67"/>
      <c r="M234" s="68"/>
      <c r="N234" s="69"/>
      <c r="O234" s="70"/>
    </row>
    <row r="248" spans="1:15" ht="20.100000000000001">
      <c r="A248" s="141" t="str">
        <f>IF('Audit information'!$B$3&gt;7,"Audit Timetable - Day 8","DELETE TABLE")</f>
        <v>Audit Timetable - Day 8</v>
      </c>
      <c r="B248" s="141"/>
      <c r="C248" s="141"/>
      <c r="D248" s="141"/>
      <c r="E248" s="141"/>
    </row>
    <row r="249" spans="1:15" ht="20.45" thickBot="1">
      <c r="A249" s="108"/>
      <c r="B249" s="109"/>
      <c r="C249" s="109"/>
      <c r="D249" s="77" t="s">
        <v>168</v>
      </c>
      <c r="E249" s="47" t="e">
        <f>IF('Audit information'!$B$3&gt;7,'Audit information'!$B$4+7,"DELETE TABLE")</f>
        <v>#VALUE!</v>
      </c>
      <c r="F249" s="109"/>
      <c r="G249" s="77" t="s">
        <v>168</v>
      </c>
      <c r="H249" s="47" t="e">
        <f>IF('Audit information'!$B$3&gt;7,'Audit information'!$B$4+7,"DELETE TABLE")</f>
        <v>#VALUE!</v>
      </c>
      <c r="I249" s="109"/>
      <c r="J249" s="109"/>
      <c r="K249" s="109"/>
      <c r="L249" s="77" t="s">
        <v>168</v>
      </c>
      <c r="M249" s="47" t="e">
        <f>IF('Audit information'!$B$3&gt;7,'Audit information'!$B$4+7,"DELETE TABLE")</f>
        <v>#VALUE!</v>
      </c>
    </row>
    <row r="250" spans="1:15" ht="25.15" customHeight="1">
      <c r="A250" s="100"/>
      <c r="B250" s="50" t="s">
        <v>169</v>
      </c>
      <c r="C250" s="102" t="str">
        <f>'Audit information'!$B$8</f>
        <v>&lt;&lt;Lead auditor&gt;&gt;</v>
      </c>
      <c r="D250" s="51" t="s">
        <v>170</v>
      </c>
      <c r="E250" s="103" t="str">
        <f>'Audit information'!$B$10</f>
        <v>&lt;&lt;Team member 1&gt;&gt;</v>
      </c>
      <c r="F250" s="100"/>
      <c r="G250" s="50" t="str">
        <f>IF('Audit information'!$B$9&gt;1,"Team member:","DELETE COLUMN")</f>
        <v>Team member:</v>
      </c>
      <c r="H250" s="102" t="str">
        <f>IF('Audit information'!$B$9&gt;1,'Audit information'!$B$11,"DELETE COLUMN")</f>
        <v>&lt;&lt;Team member 2&gt;&gt;</v>
      </c>
      <c r="I250" s="51" t="str">
        <f>IF('Audit information'!$B$9&gt;2,"Team member:","DELETE COLUMN")</f>
        <v>Team member:</v>
      </c>
      <c r="J250" s="103" t="str">
        <f>IF('Audit information'!$B$9&gt;2,'Audit information'!$B$12,"DELETE COLUMN")</f>
        <v>&lt;&lt;Team member 3&gt;&gt;</v>
      </c>
      <c r="K250" s="100"/>
      <c r="L250" s="50" t="str">
        <f>IF('Audit information'!$B$9&gt;3,"Team member:","DELETE COLUMN")</f>
        <v>Team member:</v>
      </c>
      <c r="M250" s="102" t="str">
        <f>IF('Audit information'!$B$9&gt;3,'Audit information'!$B$13,"DELETE COLUMN")</f>
        <v>&lt;&lt;Team member 4&gt;&gt;</v>
      </c>
      <c r="N250" s="51" t="str">
        <f>IF('Audit information'!$B$9&gt;4,"Team member:","DELETE COLUMN")</f>
        <v>Team member:</v>
      </c>
      <c r="O250" s="103" t="str">
        <f>IF('Audit information'!$B$9&gt;4,'Audit information'!$B$14,"DELETE COLUMN")</f>
        <v>&lt;&lt;Team member 5&gt;&gt;</v>
      </c>
    </row>
    <row r="251" spans="1:15" ht="25.15" customHeight="1" thickBot="1">
      <c r="A251" s="100"/>
      <c r="B251" s="52" t="s">
        <v>171</v>
      </c>
      <c r="C251" s="53" t="s">
        <v>172</v>
      </c>
      <c r="D251" s="54" t="s">
        <v>171</v>
      </c>
      <c r="E251" s="55" t="s">
        <v>172</v>
      </c>
      <c r="F251" s="100"/>
      <c r="G251" s="52" t="s">
        <v>171</v>
      </c>
      <c r="H251" s="53" t="s">
        <v>172</v>
      </c>
      <c r="I251" s="54" t="s">
        <v>171</v>
      </c>
      <c r="J251" s="55" t="s">
        <v>172</v>
      </c>
      <c r="K251" s="100"/>
      <c r="L251" s="52" t="s">
        <v>171</v>
      </c>
      <c r="M251" s="53" t="s">
        <v>172</v>
      </c>
      <c r="N251" s="54" t="s">
        <v>171</v>
      </c>
      <c r="O251" s="55" t="s">
        <v>172</v>
      </c>
    </row>
    <row r="252" spans="1:15" ht="25.15" customHeight="1">
      <c r="A252" s="56">
        <v>0.33333333333333331</v>
      </c>
      <c r="B252" s="57"/>
      <c r="C252" s="58"/>
      <c r="D252" s="59"/>
      <c r="E252" s="60"/>
      <c r="F252" s="56">
        <v>0.33333333333333331</v>
      </c>
      <c r="G252" s="57"/>
      <c r="H252" s="58"/>
      <c r="I252" s="59"/>
      <c r="J252" s="60"/>
      <c r="K252" s="56">
        <v>0.33333333333333331</v>
      </c>
      <c r="L252" s="57"/>
      <c r="M252" s="58"/>
      <c r="N252" s="59"/>
      <c r="O252" s="60"/>
    </row>
    <row r="253" spans="1:15" ht="25.15" customHeight="1">
      <c r="A253" s="61">
        <v>0.35416666666666669</v>
      </c>
      <c r="B253" s="62"/>
      <c r="C253" s="63"/>
      <c r="D253" s="64"/>
      <c r="E253" s="65"/>
      <c r="F253" s="61">
        <v>0.35416666666666669</v>
      </c>
      <c r="G253" s="62"/>
      <c r="H253" s="63"/>
      <c r="I253" s="64"/>
      <c r="J253" s="65"/>
      <c r="K253" s="61">
        <v>0.35416666666666669</v>
      </c>
      <c r="L253" s="62"/>
      <c r="M253" s="63"/>
      <c r="N253" s="64"/>
      <c r="O253" s="65"/>
    </row>
    <row r="254" spans="1:15" ht="25.15" customHeight="1">
      <c r="A254" s="61">
        <v>0.375</v>
      </c>
      <c r="B254" s="62"/>
      <c r="C254" s="63"/>
      <c r="D254" s="64"/>
      <c r="E254" s="65"/>
      <c r="F254" s="61">
        <v>0.375</v>
      </c>
      <c r="G254" s="62"/>
      <c r="H254" s="63"/>
      <c r="I254" s="64"/>
      <c r="J254" s="65"/>
      <c r="K254" s="61">
        <v>0.375</v>
      </c>
      <c r="L254" s="62"/>
      <c r="M254" s="63"/>
      <c r="N254" s="64"/>
      <c r="O254" s="65"/>
    </row>
    <row r="255" spans="1:15" ht="25.15" customHeight="1">
      <c r="A255" s="61">
        <v>0.39583333333333331</v>
      </c>
      <c r="B255" s="62"/>
      <c r="C255" s="63"/>
      <c r="D255" s="64"/>
      <c r="E255" s="65"/>
      <c r="F255" s="61">
        <v>0.39583333333333331</v>
      </c>
      <c r="G255" s="62"/>
      <c r="H255" s="63"/>
      <c r="I255" s="64"/>
      <c r="J255" s="65"/>
      <c r="K255" s="61">
        <v>0.39583333333333331</v>
      </c>
      <c r="L255" s="62"/>
      <c r="M255" s="63"/>
      <c r="N255" s="64"/>
      <c r="O255" s="65"/>
    </row>
    <row r="256" spans="1:15" ht="25.15" customHeight="1">
      <c r="A256" s="61">
        <v>0.41666666666666702</v>
      </c>
      <c r="B256" s="62"/>
      <c r="C256" s="63"/>
      <c r="D256" s="64"/>
      <c r="E256" s="65"/>
      <c r="F256" s="61">
        <v>0.41666666666666702</v>
      </c>
      <c r="G256" s="62"/>
      <c r="H256" s="63"/>
      <c r="I256" s="64"/>
      <c r="J256" s="65"/>
      <c r="K256" s="61">
        <v>0.41666666666666702</v>
      </c>
      <c r="L256" s="62"/>
      <c r="M256" s="63"/>
      <c r="N256" s="64"/>
      <c r="O256" s="65"/>
    </row>
    <row r="257" spans="1:15" ht="25.15" customHeight="1">
      <c r="A257" s="61">
        <v>0.4375</v>
      </c>
      <c r="B257" s="62"/>
      <c r="C257" s="63"/>
      <c r="D257" s="64"/>
      <c r="E257" s="65"/>
      <c r="F257" s="61">
        <v>0.4375</v>
      </c>
      <c r="G257" s="62"/>
      <c r="H257" s="63"/>
      <c r="I257" s="64"/>
      <c r="J257" s="65"/>
      <c r="K257" s="61">
        <v>0.4375</v>
      </c>
      <c r="L257" s="62"/>
      <c r="M257" s="63"/>
      <c r="N257" s="64"/>
      <c r="O257" s="65"/>
    </row>
    <row r="258" spans="1:15" ht="25.15" customHeight="1">
      <c r="A258" s="61">
        <v>0.45833333333333298</v>
      </c>
      <c r="B258" s="62"/>
      <c r="C258" s="63"/>
      <c r="D258" s="64"/>
      <c r="E258" s="65"/>
      <c r="F258" s="61">
        <v>0.45833333333333298</v>
      </c>
      <c r="G258" s="62"/>
      <c r="H258" s="63"/>
      <c r="I258" s="64"/>
      <c r="J258" s="65"/>
      <c r="K258" s="61">
        <v>0.45833333333333298</v>
      </c>
      <c r="L258" s="62"/>
      <c r="M258" s="63"/>
      <c r="N258" s="64"/>
      <c r="O258" s="65"/>
    </row>
    <row r="259" spans="1:15" ht="25.15" customHeight="1">
      <c r="A259" s="61">
        <v>0.47916666666666702</v>
      </c>
      <c r="B259" s="62"/>
      <c r="C259" s="63"/>
      <c r="D259" s="64"/>
      <c r="E259" s="65"/>
      <c r="F259" s="61">
        <v>0.47916666666666702</v>
      </c>
      <c r="G259" s="62"/>
      <c r="H259" s="63"/>
      <c r="I259" s="64"/>
      <c r="J259" s="65"/>
      <c r="K259" s="61">
        <v>0.47916666666666702</v>
      </c>
      <c r="L259" s="62"/>
      <c r="M259" s="63"/>
      <c r="N259" s="64"/>
      <c r="O259" s="65"/>
    </row>
    <row r="260" spans="1:15" ht="25.15" customHeight="1">
      <c r="A260" s="61">
        <v>0.5</v>
      </c>
      <c r="B260" s="62"/>
      <c r="C260" s="63"/>
      <c r="D260" s="64"/>
      <c r="E260" s="65"/>
      <c r="F260" s="61">
        <v>0.5</v>
      </c>
      <c r="G260" s="62"/>
      <c r="H260" s="63"/>
      <c r="I260" s="64"/>
      <c r="J260" s="65"/>
      <c r="K260" s="61">
        <v>0.5</v>
      </c>
      <c r="L260" s="62"/>
      <c r="M260" s="63"/>
      <c r="N260" s="64"/>
      <c r="O260" s="65"/>
    </row>
    <row r="261" spans="1:15" ht="25.15" customHeight="1">
      <c r="A261" s="61">
        <v>0.52083333333333304</v>
      </c>
      <c r="B261" s="62"/>
      <c r="C261" s="63"/>
      <c r="D261" s="64"/>
      <c r="E261" s="65"/>
      <c r="F261" s="61">
        <v>0.52083333333333304</v>
      </c>
      <c r="G261" s="62"/>
      <c r="H261" s="63"/>
      <c r="I261" s="64"/>
      <c r="J261" s="65"/>
      <c r="K261" s="61">
        <v>0.52083333333333304</v>
      </c>
      <c r="L261" s="62"/>
      <c r="M261" s="63"/>
      <c r="N261" s="64"/>
      <c r="O261" s="65"/>
    </row>
    <row r="262" spans="1:15" ht="25.15" customHeight="1">
      <c r="A262" s="61">
        <v>0.54166666666666696</v>
      </c>
      <c r="B262" s="62"/>
      <c r="C262" s="63"/>
      <c r="D262" s="64"/>
      <c r="E262" s="65"/>
      <c r="F262" s="61">
        <v>0.54166666666666696</v>
      </c>
      <c r="G262" s="62"/>
      <c r="H262" s="63"/>
      <c r="I262" s="64"/>
      <c r="J262" s="65"/>
      <c r="K262" s="61">
        <v>0.54166666666666696</v>
      </c>
      <c r="L262" s="62"/>
      <c r="M262" s="63"/>
      <c r="N262" s="64"/>
      <c r="O262" s="65"/>
    </row>
    <row r="263" spans="1:15" ht="25.15" customHeight="1">
      <c r="A263" s="61">
        <v>0.5625</v>
      </c>
      <c r="B263" s="62"/>
      <c r="C263" s="63"/>
      <c r="D263" s="64"/>
      <c r="E263" s="65"/>
      <c r="F263" s="61">
        <v>0.5625</v>
      </c>
      <c r="G263" s="62"/>
      <c r="H263" s="63"/>
      <c r="I263" s="64"/>
      <c r="J263" s="65"/>
      <c r="K263" s="61">
        <v>0.5625</v>
      </c>
      <c r="L263" s="62"/>
      <c r="M263" s="63"/>
      <c r="N263" s="64"/>
      <c r="O263" s="65"/>
    </row>
    <row r="264" spans="1:15" ht="25.15" customHeight="1">
      <c r="A264" s="61">
        <v>0.58333333333333304</v>
      </c>
      <c r="B264" s="62"/>
      <c r="C264" s="63"/>
      <c r="D264" s="64"/>
      <c r="E264" s="65"/>
      <c r="F264" s="61">
        <v>0.58333333333333304</v>
      </c>
      <c r="G264" s="62"/>
      <c r="H264" s="63"/>
      <c r="I264" s="64"/>
      <c r="J264" s="65"/>
      <c r="K264" s="61">
        <v>0.58333333333333304</v>
      </c>
      <c r="L264" s="62"/>
      <c r="M264" s="63"/>
      <c r="N264" s="64"/>
      <c r="O264" s="65"/>
    </row>
    <row r="265" spans="1:15" ht="25.15" customHeight="1">
      <c r="A265" s="61">
        <v>0.60416666666666696</v>
      </c>
      <c r="B265" s="62"/>
      <c r="C265" s="63"/>
      <c r="D265" s="64"/>
      <c r="E265" s="65"/>
      <c r="F265" s="61">
        <v>0.60416666666666696</v>
      </c>
      <c r="G265" s="62"/>
      <c r="H265" s="63"/>
      <c r="I265" s="64"/>
      <c r="J265" s="65"/>
      <c r="K265" s="61">
        <v>0.60416666666666696</v>
      </c>
      <c r="L265" s="62"/>
      <c r="M265" s="63"/>
      <c r="N265" s="64"/>
      <c r="O265" s="65"/>
    </row>
    <row r="266" spans="1:15" ht="25.15" customHeight="1">
      <c r="A266" s="61">
        <v>0.625</v>
      </c>
      <c r="B266" s="62"/>
      <c r="C266" s="63"/>
      <c r="D266" s="64"/>
      <c r="E266" s="65"/>
      <c r="F266" s="61">
        <v>0.625</v>
      </c>
      <c r="G266" s="62"/>
      <c r="H266" s="63"/>
      <c r="I266" s="64"/>
      <c r="J266" s="65"/>
      <c r="K266" s="61">
        <v>0.625</v>
      </c>
      <c r="L266" s="62"/>
      <c r="M266" s="63"/>
      <c r="N266" s="64"/>
      <c r="O266" s="65"/>
    </row>
    <row r="267" spans="1:15" ht="25.15" customHeight="1">
      <c r="A267" s="61">
        <v>0.64583333333333404</v>
      </c>
      <c r="B267" s="62"/>
      <c r="C267" s="63"/>
      <c r="D267" s="64"/>
      <c r="E267" s="65"/>
      <c r="F267" s="61">
        <v>0.64583333333333404</v>
      </c>
      <c r="G267" s="62"/>
      <c r="H267" s="63"/>
      <c r="I267" s="64"/>
      <c r="J267" s="65"/>
      <c r="K267" s="61">
        <v>0.64583333333333404</v>
      </c>
      <c r="L267" s="62"/>
      <c r="M267" s="63"/>
      <c r="N267" s="64"/>
      <c r="O267" s="65"/>
    </row>
    <row r="268" spans="1:15" ht="25.15" customHeight="1">
      <c r="A268" s="61">
        <v>0.66666666666666696</v>
      </c>
      <c r="B268" s="62"/>
      <c r="C268" s="63"/>
      <c r="D268" s="64"/>
      <c r="E268" s="65"/>
      <c r="F268" s="61">
        <v>0.66666666666666696</v>
      </c>
      <c r="G268" s="62"/>
      <c r="H268" s="63"/>
      <c r="I268" s="64"/>
      <c r="J268" s="65"/>
      <c r="K268" s="61">
        <v>0.66666666666666696</v>
      </c>
      <c r="L268" s="62"/>
      <c r="M268" s="63"/>
      <c r="N268" s="64"/>
      <c r="O268" s="65"/>
    </row>
    <row r="269" spans="1:15" ht="25.15" customHeight="1">
      <c r="A269" s="61">
        <v>0.6875</v>
      </c>
      <c r="B269" s="62"/>
      <c r="C269" s="63"/>
      <c r="D269" s="64"/>
      <c r="E269" s="65"/>
      <c r="F269" s="61">
        <v>0.6875</v>
      </c>
      <c r="G269" s="62"/>
      <c r="H269" s="63"/>
      <c r="I269" s="64"/>
      <c r="J269" s="65"/>
      <c r="K269" s="61">
        <v>0.6875</v>
      </c>
      <c r="L269" s="62"/>
      <c r="M269" s="63"/>
      <c r="N269" s="64"/>
      <c r="O269" s="65"/>
    </row>
    <row r="270" spans="1:15" ht="25.15" customHeight="1" thickBot="1">
      <c r="A270" s="66">
        <v>0.70833333333333404</v>
      </c>
      <c r="B270" s="67"/>
      <c r="C270" s="68"/>
      <c r="D270" s="69"/>
      <c r="E270" s="70"/>
      <c r="F270" s="66">
        <v>0.70833333333333404</v>
      </c>
      <c r="G270" s="67"/>
      <c r="H270" s="68"/>
      <c r="I270" s="69"/>
      <c r="J270" s="70"/>
      <c r="K270" s="66">
        <v>0.70833333333333404</v>
      </c>
      <c r="L270" s="67"/>
      <c r="M270" s="68"/>
      <c r="N270" s="69"/>
      <c r="O270" s="70"/>
    </row>
    <row r="282" spans="1:15" ht="20.100000000000001">
      <c r="A282" s="141" t="str">
        <f>IF('Audit information'!$B$3&gt;8,"Audit Timetable - Day 9","DELETE TABLE")</f>
        <v>Audit Timetable - Day 9</v>
      </c>
      <c r="B282" s="141"/>
      <c r="C282" s="141"/>
      <c r="D282" s="141"/>
      <c r="E282" s="141"/>
    </row>
    <row r="283" spans="1:15" ht="20.45" thickBot="1">
      <c r="A283" s="108"/>
      <c r="B283" s="109"/>
      <c r="C283" s="109"/>
      <c r="D283" s="77" t="s">
        <v>168</v>
      </c>
      <c r="E283" s="47" t="e">
        <f>IF('Audit information'!$B$3&gt;8,'Audit information'!$B$4+8,"DELETE TABLE")</f>
        <v>#VALUE!</v>
      </c>
      <c r="F283" s="109"/>
      <c r="G283" s="77" t="s">
        <v>168</v>
      </c>
      <c r="H283" s="47" t="e">
        <f>IF('Audit information'!$B$3&gt;8,'Audit information'!$B$4+8,"DELETE TABLE")</f>
        <v>#VALUE!</v>
      </c>
      <c r="I283" s="109"/>
      <c r="J283" s="109"/>
      <c r="K283" s="109"/>
      <c r="L283" s="77" t="s">
        <v>168</v>
      </c>
      <c r="M283" s="47" t="e">
        <f>IF('Audit information'!$B$3&gt;8,'Audit information'!$B$4+8,"DELETE TABLE")</f>
        <v>#VALUE!</v>
      </c>
    </row>
    <row r="284" spans="1:15" ht="24.6" customHeight="1">
      <c r="A284" s="100"/>
      <c r="B284" s="50" t="s">
        <v>169</v>
      </c>
      <c r="C284" s="102" t="str">
        <f>'Audit information'!$B$8</f>
        <v>&lt;&lt;Lead auditor&gt;&gt;</v>
      </c>
      <c r="D284" s="51" t="s">
        <v>170</v>
      </c>
      <c r="E284" s="103" t="str">
        <f>'Audit information'!$B$10</f>
        <v>&lt;&lt;Team member 1&gt;&gt;</v>
      </c>
      <c r="F284" s="100"/>
      <c r="G284" s="50" t="str">
        <f>IF('Audit information'!$B$9&gt;1,"Team member:","DELETE COLUMN")</f>
        <v>Team member:</v>
      </c>
      <c r="H284" s="102" t="str">
        <f>IF('Audit information'!$B$9&gt;1,'Audit information'!$B$11,"DELETE COLUMN")</f>
        <v>&lt;&lt;Team member 2&gt;&gt;</v>
      </c>
      <c r="I284" s="51" t="str">
        <f>IF('Audit information'!$B$9&gt;2,"Team member:","DELETE COLUMN")</f>
        <v>Team member:</v>
      </c>
      <c r="J284" s="103" t="str">
        <f>IF('Audit information'!$B$9&gt;2,'Audit information'!$B$12,"DELETE COLUMN")</f>
        <v>&lt;&lt;Team member 3&gt;&gt;</v>
      </c>
      <c r="K284" s="100"/>
      <c r="L284" s="50" t="str">
        <f>IF('Audit information'!$B$9&gt;3,"Team member:","DELETE COLUMN")</f>
        <v>Team member:</v>
      </c>
      <c r="M284" s="102" t="str">
        <f>IF('Audit information'!$B$9&gt;3,'Audit information'!$B$13,"DELETE COLUMN")</f>
        <v>&lt;&lt;Team member 4&gt;&gt;</v>
      </c>
      <c r="N284" s="51" t="str">
        <f>IF('Audit information'!$B$9&gt;4,"Team member:","DELETE COLUMN")</f>
        <v>Team member:</v>
      </c>
      <c r="O284" s="103" t="str">
        <f>IF('Audit information'!$B$9&gt;4,'Audit information'!$B$14,"DELETE COLUMN")</f>
        <v>&lt;&lt;Team member 5&gt;&gt;</v>
      </c>
    </row>
    <row r="285" spans="1:15" ht="24.6" customHeight="1" thickBot="1">
      <c r="A285" s="100"/>
      <c r="B285" s="52" t="s">
        <v>171</v>
      </c>
      <c r="C285" s="53" t="s">
        <v>172</v>
      </c>
      <c r="D285" s="54" t="s">
        <v>171</v>
      </c>
      <c r="E285" s="55" t="s">
        <v>172</v>
      </c>
      <c r="F285" s="100"/>
      <c r="G285" s="52" t="s">
        <v>171</v>
      </c>
      <c r="H285" s="53" t="s">
        <v>172</v>
      </c>
      <c r="I285" s="54" t="s">
        <v>171</v>
      </c>
      <c r="J285" s="55" t="s">
        <v>172</v>
      </c>
      <c r="K285" s="100"/>
      <c r="L285" s="52" t="s">
        <v>171</v>
      </c>
      <c r="M285" s="53" t="s">
        <v>172</v>
      </c>
      <c r="N285" s="54" t="s">
        <v>171</v>
      </c>
      <c r="O285" s="55" t="s">
        <v>172</v>
      </c>
    </row>
    <row r="286" spans="1:15" ht="24.6" customHeight="1">
      <c r="A286" s="56">
        <v>0.33333333333333331</v>
      </c>
      <c r="B286" s="57"/>
      <c r="C286" s="58"/>
      <c r="D286" s="59"/>
      <c r="E286" s="60"/>
      <c r="F286" s="56">
        <v>0.33333333333333331</v>
      </c>
      <c r="G286" s="57"/>
      <c r="H286" s="58"/>
      <c r="I286" s="59"/>
      <c r="J286" s="60"/>
      <c r="K286" s="56">
        <v>0.33333333333333331</v>
      </c>
      <c r="L286" s="57"/>
      <c r="M286" s="58"/>
      <c r="N286" s="59"/>
      <c r="O286" s="60"/>
    </row>
    <row r="287" spans="1:15" ht="24.6" customHeight="1">
      <c r="A287" s="61">
        <v>0.35416666666666669</v>
      </c>
      <c r="B287" s="62"/>
      <c r="C287" s="63"/>
      <c r="D287" s="64"/>
      <c r="E287" s="65"/>
      <c r="F287" s="61">
        <v>0.35416666666666669</v>
      </c>
      <c r="G287" s="62"/>
      <c r="H287" s="63"/>
      <c r="I287" s="64"/>
      <c r="J287" s="65"/>
      <c r="K287" s="61">
        <v>0.35416666666666669</v>
      </c>
      <c r="L287" s="62"/>
      <c r="M287" s="63"/>
      <c r="N287" s="64"/>
      <c r="O287" s="65"/>
    </row>
    <row r="288" spans="1:15" ht="24.6" customHeight="1">
      <c r="A288" s="61">
        <v>0.375</v>
      </c>
      <c r="B288" s="62"/>
      <c r="C288" s="63"/>
      <c r="D288" s="64"/>
      <c r="E288" s="65"/>
      <c r="F288" s="61">
        <v>0.375</v>
      </c>
      <c r="G288" s="62"/>
      <c r="H288" s="63"/>
      <c r="I288" s="64"/>
      <c r="J288" s="65"/>
      <c r="K288" s="61">
        <v>0.375</v>
      </c>
      <c r="L288" s="62"/>
      <c r="M288" s="63"/>
      <c r="N288" s="64"/>
      <c r="O288" s="65"/>
    </row>
    <row r="289" spans="1:15" ht="24.6" customHeight="1">
      <c r="A289" s="61">
        <v>0.39583333333333331</v>
      </c>
      <c r="B289" s="62"/>
      <c r="C289" s="63"/>
      <c r="D289" s="64"/>
      <c r="E289" s="65"/>
      <c r="F289" s="61">
        <v>0.39583333333333331</v>
      </c>
      <c r="G289" s="62"/>
      <c r="H289" s="63"/>
      <c r="I289" s="64"/>
      <c r="J289" s="65"/>
      <c r="K289" s="61">
        <v>0.39583333333333331</v>
      </c>
      <c r="L289" s="62"/>
      <c r="M289" s="63"/>
      <c r="N289" s="64"/>
      <c r="O289" s="65"/>
    </row>
    <row r="290" spans="1:15" ht="24.6" customHeight="1">
      <c r="A290" s="61">
        <v>0.41666666666666702</v>
      </c>
      <c r="B290" s="62"/>
      <c r="C290" s="63"/>
      <c r="D290" s="64"/>
      <c r="E290" s="65"/>
      <c r="F290" s="61">
        <v>0.41666666666666702</v>
      </c>
      <c r="G290" s="62"/>
      <c r="H290" s="63"/>
      <c r="I290" s="64"/>
      <c r="J290" s="65"/>
      <c r="K290" s="61">
        <v>0.41666666666666702</v>
      </c>
      <c r="L290" s="62"/>
      <c r="M290" s="63"/>
      <c r="N290" s="64"/>
      <c r="O290" s="65"/>
    </row>
    <row r="291" spans="1:15" ht="24.6" customHeight="1">
      <c r="A291" s="61">
        <v>0.4375</v>
      </c>
      <c r="B291" s="62"/>
      <c r="C291" s="63"/>
      <c r="D291" s="64"/>
      <c r="E291" s="65"/>
      <c r="F291" s="61">
        <v>0.4375</v>
      </c>
      <c r="G291" s="62"/>
      <c r="H291" s="63"/>
      <c r="I291" s="64"/>
      <c r="J291" s="65"/>
      <c r="K291" s="61">
        <v>0.4375</v>
      </c>
      <c r="L291" s="62"/>
      <c r="M291" s="63"/>
      <c r="N291" s="64"/>
      <c r="O291" s="65"/>
    </row>
    <row r="292" spans="1:15" ht="24.6" customHeight="1">
      <c r="A292" s="61">
        <v>0.45833333333333298</v>
      </c>
      <c r="B292" s="62"/>
      <c r="C292" s="63"/>
      <c r="D292" s="64"/>
      <c r="E292" s="65"/>
      <c r="F292" s="61">
        <v>0.45833333333333298</v>
      </c>
      <c r="G292" s="62"/>
      <c r="H292" s="63"/>
      <c r="I292" s="64"/>
      <c r="J292" s="65"/>
      <c r="K292" s="61">
        <v>0.45833333333333298</v>
      </c>
      <c r="L292" s="62"/>
      <c r="M292" s="63"/>
      <c r="N292" s="64"/>
      <c r="O292" s="65"/>
    </row>
    <row r="293" spans="1:15" ht="24.6" customHeight="1">
      <c r="A293" s="61">
        <v>0.47916666666666702</v>
      </c>
      <c r="B293" s="62"/>
      <c r="C293" s="63"/>
      <c r="D293" s="64"/>
      <c r="E293" s="65"/>
      <c r="F293" s="61">
        <v>0.47916666666666702</v>
      </c>
      <c r="G293" s="62"/>
      <c r="H293" s="63"/>
      <c r="I293" s="64"/>
      <c r="J293" s="65"/>
      <c r="K293" s="61">
        <v>0.47916666666666702</v>
      </c>
      <c r="L293" s="62"/>
      <c r="M293" s="63"/>
      <c r="N293" s="64"/>
      <c r="O293" s="65"/>
    </row>
    <row r="294" spans="1:15" ht="24.6" customHeight="1">
      <c r="A294" s="61">
        <v>0.5</v>
      </c>
      <c r="B294" s="62"/>
      <c r="C294" s="63"/>
      <c r="D294" s="64"/>
      <c r="E294" s="65"/>
      <c r="F294" s="61">
        <v>0.5</v>
      </c>
      <c r="G294" s="62"/>
      <c r="H294" s="63"/>
      <c r="I294" s="64"/>
      <c r="J294" s="65"/>
      <c r="K294" s="61">
        <v>0.5</v>
      </c>
      <c r="L294" s="62"/>
      <c r="M294" s="63"/>
      <c r="N294" s="64"/>
      <c r="O294" s="65"/>
    </row>
    <row r="295" spans="1:15" ht="24.6" customHeight="1">
      <c r="A295" s="61">
        <v>0.52083333333333304</v>
      </c>
      <c r="B295" s="62"/>
      <c r="C295" s="63"/>
      <c r="D295" s="64"/>
      <c r="E295" s="65"/>
      <c r="F295" s="61">
        <v>0.52083333333333304</v>
      </c>
      <c r="G295" s="62"/>
      <c r="H295" s="63"/>
      <c r="I295" s="64"/>
      <c r="J295" s="65"/>
      <c r="K295" s="61">
        <v>0.52083333333333304</v>
      </c>
      <c r="L295" s="62"/>
      <c r="M295" s="63"/>
      <c r="N295" s="64"/>
      <c r="O295" s="65"/>
    </row>
    <row r="296" spans="1:15" ht="24.6" customHeight="1">
      <c r="A296" s="61">
        <v>0.54166666666666696</v>
      </c>
      <c r="B296" s="62"/>
      <c r="C296" s="63"/>
      <c r="D296" s="64"/>
      <c r="E296" s="65"/>
      <c r="F296" s="61">
        <v>0.54166666666666696</v>
      </c>
      <c r="G296" s="62"/>
      <c r="H296" s="63"/>
      <c r="I296" s="64"/>
      <c r="J296" s="65"/>
      <c r="K296" s="61">
        <v>0.54166666666666696</v>
      </c>
      <c r="L296" s="62"/>
      <c r="M296" s="63"/>
      <c r="N296" s="64"/>
      <c r="O296" s="65"/>
    </row>
    <row r="297" spans="1:15" ht="24.6" customHeight="1">
      <c r="A297" s="61">
        <v>0.5625</v>
      </c>
      <c r="B297" s="62"/>
      <c r="C297" s="63"/>
      <c r="D297" s="64"/>
      <c r="E297" s="65"/>
      <c r="F297" s="61">
        <v>0.5625</v>
      </c>
      <c r="G297" s="62"/>
      <c r="H297" s="63"/>
      <c r="I297" s="64"/>
      <c r="J297" s="65"/>
      <c r="K297" s="61">
        <v>0.5625</v>
      </c>
      <c r="L297" s="62"/>
      <c r="M297" s="63"/>
      <c r="N297" s="64"/>
      <c r="O297" s="65"/>
    </row>
    <row r="298" spans="1:15" ht="24.6" customHeight="1">
      <c r="A298" s="61">
        <v>0.58333333333333304</v>
      </c>
      <c r="B298" s="62"/>
      <c r="C298" s="63"/>
      <c r="D298" s="64"/>
      <c r="E298" s="65"/>
      <c r="F298" s="61">
        <v>0.58333333333333304</v>
      </c>
      <c r="G298" s="62"/>
      <c r="H298" s="63"/>
      <c r="I298" s="64"/>
      <c r="J298" s="65"/>
      <c r="K298" s="61">
        <v>0.58333333333333304</v>
      </c>
      <c r="L298" s="62"/>
      <c r="M298" s="63"/>
      <c r="N298" s="64"/>
      <c r="O298" s="65"/>
    </row>
    <row r="299" spans="1:15" ht="24.6" customHeight="1">
      <c r="A299" s="61">
        <v>0.60416666666666696</v>
      </c>
      <c r="B299" s="62"/>
      <c r="C299" s="63"/>
      <c r="D299" s="64"/>
      <c r="E299" s="65"/>
      <c r="F299" s="61">
        <v>0.60416666666666696</v>
      </c>
      <c r="G299" s="62"/>
      <c r="H299" s="63"/>
      <c r="I299" s="64"/>
      <c r="J299" s="65"/>
      <c r="K299" s="61">
        <v>0.60416666666666696</v>
      </c>
      <c r="L299" s="62"/>
      <c r="M299" s="63"/>
      <c r="N299" s="64"/>
      <c r="O299" s="65"/>
    </row>
    <row r="300" spans="1:15" ht="24.6" customHeight="1">
      <c r="A300" s="61">
        <v>0.625</v>
      </c>
      <c r="B300" s="62"/>
      <c r="C300" s="63"/>
      <c r="D300" s="64"/>
      <c r="E300" s="65"/>
      <c r="F300" s="61">
        <v>0.625</v>
      </c>
      <c r="G300" s="62"/>
      <c r="H300" s="63"/>
      <c r="I300" s="64"/>
      <c r="J300" s="65"/>
      <c r="K300" s="61">
        <v>0.625</v>
      </c>
      <c r="L300" s="62"/>
      <c r="M300" s="63"/>
      <c r="N300" s="64"/>
      <c r="O300" s="65"/>
    </row>
    <row r="301" spans="1:15" ht="24.6" customHeight="1">
      <c r="A301" s="61">
        <v>0.64583333333333404</v>
      </c>
      <c r="B301" s="62"/>
      <c r="C301" s="63"/>
      <c r="D301" s="64"/>
      <c r="E301" s="65"/>
      <c r="F301" s="61">
        <v>0.64583333333333404</v>
      </c>
      <c r="G301" s="62"/>
      <c r="H301" s="63"/>
      <c r="I301" s="64"/>
      <c r="J301" s="65"/>
      <c r="K301" s="61">
        <v>0.64583333333333404</v>
      </c>
      <c r="L301" s="62"/>
      <c r="M301" s="63"/>
      <c r="N301" s="64"/>
      <c r="O301" s="65"/>
    </row>
    <row r="302" spans="1:15" ht="24.6" customHeight="1">
      <c r="A302" s="61">
        <v>0.66666666666666696</v>
      </c>
      <c r="B302" s="62"/>
      <c r="C302" s="63"/>
      <c r="D302" s="64"/>
      <c r="E302" s="65"/>
      <c r="F302" s="61">
        <v>0.66666666666666696</v>
      </c>
      <c r="G302" s="62"/>
      <c r="H302" s="63"/>
      <c r="I302" s="64"/>
      <c r="J302" s="65"/>
      <c r="K302" s="61">
        <v>0.66666666666666696</v>
      </c>
      <c r="L302" s="62"/>
      <c r="M302" s="63"/>
      <c r="N302" s="64"/>
      <c r="O302" s="65"/>
    </row>
    <row r="303" spans="1:15" ht="24.6" customHeight="1">
      <c r="A303" s="61">
        <v>0.6875</v>
      </c>
      <c r="B303" s="62"/>
      <c r="C303" s="63"/>
      <c r="D303" s="64"/>
      <c r="E303" s="65"/>
      <c r="F303" s="61">
        <v>0.6875</v>
      </c>
      <c r="G303" s="62"/>
      <c r="H303" s="63"/>
      <c r="I303" s="64"/>
      <c r="J303" s="65"/>
      <c r="K303" s="61">
        <v>0.6875</v>
      </c>
      <c r="L303" s="62"/>
      <c r="M303" s="63"/>
      <c r="N303" s="64"/>
      <c r="O303" s="65"/>
    </row>
    <row r="304" spans="1:15" ht="24.6" customHeight="1" thickBot="1">
      <c r="A304" s="66">
        <v>0.70833333333333404</v>
      </c>
      <c r="B304" s="67"/>
      <c r="C304" s="68"/>
      <c r="D304" s="69"/>
      <c r="E304" s="70"/>
      <c r="F304" s="66">
        <v>0.70833333333333404</v>
      </c>
      <c r="G304" s="67"/>
      <c r="H304" s="68"/>
      <c r="I304" s="69"/>
      <c r="J304" s="70"/>
      <c r="K304" s="66">
        <v>0.70833333333333404</v>
      </c>
      <c r="L304" s="67"/>
      <c r="M304" s="68"/>
      <c r="N304" s="69"/>
      <c r="O304" s="70"/>
    </row>
    <row r="317" spans="1:15" ht="20.100000000000001">
      <c r="A317" s="141" t="str">
        <f>IF('Audit information'!$B$3&gt;9,"Audit Timetable - Day 10","DELETE TABLE")</f>
        <v>Audit Timetable - Day 10</v>
      </c>
      <c r="B317" s="141"/>
      <c r="C317" s="141"/>
      <c r="D317" s="141"/>
      <c r="E317" s="141"/>
    </row>
    <row r="318" spans="1:15" ht="20.45" thickBot="1">
      <c r="A318" s="108"/>
      <c r="B318" s="109"/>
      <c r="C318" s="109"/>
      <c r="D318" s="77" t="s">
        <v>168</v>
      </c>
      <c r="E318" s="47" t="e">
        <f>IF('Audit information'!$B$3&gt;9,'Audit information'!$B$4+9,"DELETE TABLE")</f>
        <v>#VALUE!</v>
      </c>
      <c r="F318" s="109"/>
      <c r="G318" s="77" t="s">
        <v>168</v>
      </c>
      <c r="H318" s="47" t="e">
        <f>IF('Audit information'!$B$3&gt;9,'Audit information'!$B$4+9,"DELETE TABLE")</f>
        <v>#VALUE!</v>
      </c>
      <c r="K318" s="109"/>
      <c r="L318" s="77" t="s">
        <v>168</v>
      </c>
      <c r="M318" s="47" t="e">
        <f>IF('Audit information'!$B$3&gt;9,'Audit information'!$B$4+9,"DELETE TABLE")</f>
        <v>#VALUE!</v>
      </c>
    </row>
    <row r="319" spans="1:15" ht="24" customHeight="1">
      <c r="A319" s="100"/>
      <c r="B319" s="50" t="s">
        <v>169</v>
      </c>
      <c r="C319" s="102" t="str">
        <f>'Audit information'!$B$8</f>
        <v>&lt;&lt;Lead auditor&gt;&gt;</v>
      </c>
      <c r="D319" s="51" t="s">
        <v>170</v>
      </c>
      <c r="E319" s="103" t="str">
        <f>'Audit information'!$B$10</f>
        <v>&lt;&lt;Team member 1&gt;&gt;</v>
      </c>
      <c r="F319" s="100"/>
      <c r="G319" s="50" t="str">
        <f>IF('Audit information'!$B$9&gt;1,"Team member:","DELETE COLUMN")</f>
        <v>Team member:</v>
      </c>
      <c r="H319" s="102" t="str">
        <f>IF('Audit information'!$B$9&gt;1,'Audit information'!$B$11,"DELETE COLUMN")</f>
        <v>&lt;&lt;Team member 2&gt;&gt;</v>
      </c>
      <c r="I319" s="51" t="str">
        <f>IF('Audit information'!$B$9&gt;2,"Team member:","DELETE COLUMN")</f>
        <v>Team member:</v>
      </c>
      <c r="J319" s="103" t="str">
        <f>IF('Audit information'!$B$9&gt;2,'Audit information'!$B$12,"DELETE COLUMN")</f>
        <v>&lt;&lt;Team member 3&gt;&gt;</v>
      </c>
      <c r="K319" s="100"/>
      <c r="L319" s="50" t="str">
        <f>IF('Audit information'!$B$9&gt;3,"Team member:","DELETE COLUMN")</f>
        <v>Team member:</v>
      </c>
      <c r="M319" s="102" t="str">
        <f>IF('Audit information'!$B$9&gt;3,'Audit information'!$B$13,"DELETE COLUMN")</f>
        <v>&lt;&lt;Team member 4&gt;&gt;</v>
      </c>
      <c r="N319" s="51" t="str">
        <f>IF('Audit information'!$B$9&gt;4,"Team member:","DELETE COLUMN")</f>
        <v>Team member:</v>
      </c>
      <c r="O319" s="103" t="str">
        <f>IF('Audit information'!$B$9&gt;4,'Audit information'!$B$14,"DELETE COLUMN")</f>
        <v>&lt;&lt;Team member 5&gt;&gt;</v>
      </c>
    </row>
    <row r="320" spans="1:15" ht="24" customHeight="1" thickBot="1">
      <c r="A320" s="100"/>
      <c r="B320" s="52" t="s">
        <v>171</v>
      </c>
      <c r="C320" s="53" t="s">
        <v>172</v>
      </c>
      <c r="D320" s="54" t="s">
        <v>171</v>
      </c>
      <c r="E320" s="55" t="s">
        <v>172</v>
      </c>
      <c r="F320" s="100"/>
      <c r="G320" s="52" t="s">
        <v>171</v>
      </c>
      <c r="H320" s="53" t="s">
        <v>172</v>
      </c>
      <c r="I320" s="54" t="s">
        <v>171</v>
      </c>
      <c r="J320" s="55" t="s">
        <v>172</v>
      </c>
      <c r="K320" s="100"/>
      <c r="L320" s="52" t="s">
        <v>171</v>
      </c>
      <c r="M320" s="53" t="s">
        <v>172</v>
      </c>
      <c r="N320" s="54" t="s">
        <v>171</v>
      </c>
      <c r="O320" s="55" t="s">
        <v>172</v>
      </c>
    </row>
    <row r="321" spans="1:15" ht="24" customHeight="1">
      <c r="A321" s="56">
        <v>0.33333333333333331</v>
      </c>
      <c r="B321" s="57"/>
      <c r="C321" s="58"/>
      <c r="D321" s="59"/>
      <c r="E321" s="60"/>
      <c r="F321" s="56">
        <v>0.33333333333333331</v>
      </c>
      <c r="G321" s="57"/>
      <c r="H321" s="58"/>
      <c r="I321" s="59"/>
      <c r="J321" s="60"/>
      <c r="K321" s="56">
        <v>0.33333333333333331</v>
      </c>
      <c r="L321" s="57"/>
      <c r="M321" s="58"/>
      <c r="N321" s="59"/>
      <c r="O321" s="60"/>
    </row>
    <row r="322" spans="1:15" ht="24" customHeight="1">
      <c r="A322" s="61">
        <v>0.35416666666666669</v>
      </c>
      <c r="B322" s="62"/>
      <c r="C322" s="63"/>
      <c r="D322" s="64"/>
      <c r="E322" s="65"/>
      <c r="F322" s="61">
        <v>0.35416666666666669</v>
      </c>
      <c r="G322" s="62"/>
      <c r="H322" s="63"/>
      <c r="I322" s="64"/>
      <c r="J322" s="65"/>
      <c r="K322" s="61">
        <v>0.35416666666666669</v>
      </c>
      <c r="L322" s="62"/>
      <c r="M322" s="63"/>
      <c r="N322" s="64"/>
      <c r="O322" s="65"/>
    </row>
    <row r="323" spans="1:15" ht="24" customHeight="1">
      <c r="A323" s="61">
        <v>0.375</v>
      </c>
      <c r="B323" s="62"/>
      <c r="C323" s="63"/>
      <c r="D323" s="64"/>
      <c r="E323" s="65"/>
      <c r="F323" s="61">
        <v>0.375</v>
      </c>
      <c r="G323" s="62"/>
      <c r="H323" s="63"/>
      <c r="I323" s="64"/>
      <c r="J323" s="65"/>
      <c r="K323" s="61">
        <v>0.375</v>
      </c>
      <c r="L323" s="62"/>
      <c r="M323" s="63"/>
      <c r="N323" s="64"/>
      <c r="O323" s="65"/>
    </row>
    <row r="324" spans="1:15" ht="24" customHeight="1">
      <c r="A324" s="61">
        <v>0.39583333333333331</v>
      </c>
      <c r="B324" s="62"/>
      <c r="C324" s="63"/>
      <c r="D324" s="64"/>
      <c r="E324" s="65"/>
      <c r="F324" s="61">
        <v>0.39583333333333331</v>
      </c>
      <c r="G324" s="62"/>
      <c r="H324" s="63"/>
      <c r="I324" s="64"/>
      <c r="J324" s="65"/>
      <c r="K324" s="61">
        <v>0.39583333333333331</v>
      </c>
      <c r="L324" s="62"/>
      <c r="M324" s="63"/>
      <c r="N324" s="64"/>
      <c r="O324" s="65"/>
    </row>
    <row r="325" spans="1:15" ht="24" customHeight="1">
      <c r="A325" s="61">
        <v>0.41666666666666702</v>
      </c>
      <c r="B325" s="62"/>
      <c r="C325" s="63"/>
      <c r="D325" s="64"/>
      <c r="E325" s="65"/>
      <c r="F325" s="61">
        <v>0.41666666666666702</v>
      </c>
      <c r="G325" s="62"/>
      <c r="H325" s="63"/>
      <c r="I325" s="64"/>
      <c r="J325" s="65"/>
      <c r="K325" s="61">
        <v>0.41666666666666702</v>
      </c>
      <c r="L325" s="62"/>
      <c r="M325" s="63"/>
      <c r="N325" s="64"/>
      <c r="O325" s="65"/>
    </row>
    <row r="326" spans="1:15" ht="24" customHeight="1">
      <c r="A326" s="61">
        <v>0.4375</v>
      </c>
      <c r="B326" s="62"/>
      <c r="C326" s="63"/>
      <c r="D326" s="64"/>
      <c r="E326" s="65"/>
      <c r="F326" s="61">
        <v>0.4375</v>
      </c>
      <c r="G326" s="62"/>
      <c r="H326" s="63"/>
      <c r="I326" s="64"/>
      <c r="J326" s="65"/>
      <c r="K326" s="61">
        <v>0.4375</v>
      </c>
      <c r="L326" s="62"/>
      <c r="M326" s="63"/>
      <c r="N326" s="64"/>
      <c r="O326" s="65"/>
    </row>
    <row r="327" spans="1:15" ht="24" customHeight="1">
      <c r="A327" s="61">
        <v>0.45833333333333298</v>
      </c>
      <c r="B327" s="62"/>
      <c r="C327" s="63"/>
      <c r="D327" s="64"/>
      <c r="E327" s="65"/>
      <c r="F327" s="61">
        <v>0.45833333333333298</v>
      </c>
      <c r="G327" s="62"/>
      <c r="H327" s="63"/>
      <c r="I327" s="64"/>
      <c r="J327" s="65"/>
      <c r="K327" s="61">
        <v>0.45833333333333298</v>
      </c>
      <c r="L327" s="62"/>
      <c r="M327" s="63"/>
      <c r="N327" s="64"/>
      <c r="O327" s="65"/>
    </row>
    <row r="328" spans="1:15" ht="24" customHeight="1">
      <c r="A328" s="61">
        <v>0.47916666666666702</v>
      </c>
      <c r="B328" s="62"/>
      <c r="C328" s="63"/>
      <c r="D328" s="64"/>
      <c r="E328" s="65"/>
      <c r="F328" s="61">
        <v>0.47916666666666702</v>
      </c>
      <c r="G328" s="62"/>
      <c r="H328" s="63"/>
      <c r="I328" s="64"/>
      <c r="J328" s="65"/>
      <c r="K328" s="61">
        <v>0.47916666666666702</v>
      </c>
      <c r="L328" s="62"/>
      <c r="M328" s="63"/>
      <c r="N328" s="64"/>
      <c r="O328" s="65"/>
    </row>
    <row r="329" spans="1:15" ht="24" customHeight="1">
      <c r="A329" s="61">
        <v>0.5</v>
      </c>
      <c r="B329" s="62"/>
      <c r="C329" s="63"/>
      <c r="D329" s="64"/>
      <c r="E329" s="65"/>
      <c r="F329" s="61">
        <v>0.5</v>
      </c>
      <c r="G329" s="62"/>
      <c r="H329" s="63"/>
      <c r="I329" s="64"/>
      <c r="J329" s="65"/>
      <c r="K329" s="61">
        <v>0.5</v>
      </c>
      <c r="L329" s="62"/>
      <c r="M329" s="63"/>
      <c r="N329" s="64"/>
      <c r="O329" s="65"/>
    </row>
    <row r="330" spans="1:15" ht="24" customHeight="1">
      <c r="A330" s="61">
        <v>0.52083333333333304</v>
      </c>
      <c r="B330" s="62"/>
      <c r="C330" s="63"/>
      <c r="D330" s="64"/>
      <c r="E330" s="65"/>
      <c r="F330" s="61">
        <v>0.52083333333333304</v>
      </c>
      <c r="G330" s="62"/>
      <c r="H330" s="63"/>
      <c r="I330" s="64"/>
      <c r="J330" s="65"/>
      <c r="K330" s="61">
        <v>0.52083333333333304</v>
      </c>
      <c r="L330" s="62"/>
      <c r="M330" s="63"/>
      <c r="N330" s="64"/>
      <c r="O330" s="65"/>
    </row>
    <row r="331" spans="1:15" ht="24" customHeight="1">
      <c r="A331" s="61">
        <v>0.54166666666666696</v>
      </c>
      <c r="B331" s="62"/>
      <c r="C331" s="63"/>
      <c r="D331" s="64"/>
      <c r="E331" s="65"/>
      <c r="F331" s="61">
        <v>0.54166666666666696</v>
      </c>
      <c r="G331" s="62"/>
      <c r="H331" s="63"/>
      <c r="I331" s="64"/>
      <c r="J331" s="65"/>
      <c r="K331" s="61">
        <v>0.54166666666666696</v>
      </c>
      <c r="L331" s="62"/>
      <c r="M331" s="63"/>
      <c r="N331" s="64"/>
      <c r="O331" s="65"/>
    </row>
    <row r="332" spans="1:15" ht="24" customHeight="1">
      <c r="A332" s="61">
        <v>0.5625</v>
      </c>
      <c r="B332" s="62"/>
      <c r="C332" s="63"/>
      <c r="D332" s="64"/>
      <c r="E332" s="65"/>
      <c r="F332" s="61">
        <v>0.5625</v>
      </c>
      <c r="G332" s="62"/>
      <c r="H332" s="63"/>
      <c r="I332" s="64"/>
      <c r="J332" s="65"/>
      <c r="K332" s="61">
        <v>0.5625</v>
      </c>
      <c r="L332" s="62"/>
      <c r="M332" s="63"/>
      <c r="N332" s="64"/>
      <c r="O332" s="65"/>
    </row>
    <row r="333" spans="1:15" ht="24" customHeight="1">
      <c r="A333" s="61">
        <v>0.58333333333333304</v>
      </c>
      <c r="B333" s="62"/>
      <c r="C333" s="63"/>
      <c r="D333" s="64"/>
      <c r="E333" s="65"/>
      <c r="F333" s="61">
        <v>0.58333333333333304</v>
      </c>
      <c r="G333" s="62"/>
      <c r="H333" s="63"/>
      <c r="I333" s="64"/>
      <c r="J333" s="65"/>
      <c r="K333" s="61">
        <v>0.58333333333333304</v>
      </c>
      <c r="L333" s="62"/>
      <c r="M333" s="63"/>
      <c r="N333" s="64"/>
      <c r="O333" s="65"/>
    </row>
    <row r="334" spans="1:15" ht="24" customHeight="1">
      <c r="A334" s="61">
        <v>0.60416666666666696</v>
      </c>
      <c r="B334" s="62"/>
      <c r="C334" s="63"/>
      <c r="D334" s="64"/>
      <c r="E334" s="65"/>
      <c r="F334" s="61">
        <v>0.60416666666666696</v>
      </c>
      <c r="G334" s="62"/>
      <c r="H334" s="63"/>
      <c r="I334" s="64"/>
      <c r="J334" s="65"/>
      <c r="K334" s="61">
        <v>0.60416666666666696</v>
      </c>
      <c r="L334" s="62"/>
      <c r="M334" s="63"/>
      <c r="N334" s="64"/>
      <c r="O334" s="65"/>
    </row>
    <row r="335" spans="1:15" ht="24" customHeight="1">
      <c r="A335" s="61">
        <v>0.625</v>
      </c>
      <c r="B335" s="62"/>
      <c r="C335" s="63"/>
      <c r="D335" s="64"/>
      <c r="E335" s="65"/>
      <c r="F335" s="61">
        <v>0.625</v>
      </c>
      <c r="G335" s="62"/>
      <c r="H335" s="63"/>
      <c r="I335" s="64"/>
      <c r="J335" s="65"/>
      <c r="K335" s="61">
        <v>0.625</v>
      </c>
      <c r="L335" s="62"/>
      <c r="M335" s="63"/>
      <c r="N335" s="64"/>
      <c r="O335" s="65"/>
    </row>
    <row r="336" spans="1:15" ht="24" customHeight="1">
      <c r="A336" s="61">
        <v>0.64583333333333404</v>
      </c>
      <c r="B336" s="62"/>
      <c r="C336" s="63"/>
      <c r="D336" s="64"/>
      <c r="E336" s="65"/>
      <c r="F336" s="61">
        <v>0.64583333333333404</v>
      </c>
      <c r="G336" s="62"/>
      <c r="H336" s="63"/>
      <c r="I336" s="64"/>
      <c r="J336" s="65"/>
      <c r="K336" s="61">
        <v>0.64583333333333404</v>
      </c>
      <c r="L336" s="62"/>
      <c r="M336" s="63"/>
      <c r="N336" s="64"/>
      <c r="O336" s="65"/>
    </row>
    <row r="337" spans="1:15" ht="24" customHeight="1">
      <c r="A337" s="61">
        <v>0.66666666666666696</v>
      </c>
      <c r="B337" s="62"/>
      <c r="C337" s="63"/>
      <c r="D337" s="64"/>
      <c r="E337" s="65"/>
      <c r="F337" s="61">
        <v>0.66666666666666696</v>
      </c>
      <c r="G337" s="62"/>
      <c r="H337" s="63"/>
      <c r="I337" s="64"/>
      <c r="J337" s="65"/>
      <c r="K337" s="61">
        <v>0.66666666666666696</v>
      </c>
      <c r="L337" s="62"/>
      <c r="M337" s="63"/>
      <c r="N337" s="64"/>
      <c r="O337" s="65"/>
    </row>
    <row r="338" spans="1:15" ht="24" customHeight="1">
      <c r="A338" s="61">
        <v>0.6875</v>
      </c>
      <c r="B338" s="62"/>
      <c r="C338" s="63"/>
      <c r="D338" s="64"/>
      <c r="E338" s="65"/>
      <c r="F338" s="61">
        <v>0.6875</v>
      </c>
      <c r="G338" s="62"/>
      <c r="H338" s="63"/>
      <c r="I338" s="64"/>
      <c r="J338" s="65"/>
      <c r="K338" s="61">
        <v>0.6875</v>
      </c>
      <c r="L338" s="62"/>
      <c r="M338" s="63"/>
      <c r="N338" s="64"/>
      <c r="O338" s="65"/>
    </row>
    <row r="339" spans="1:15" ht="24" customHeight="1" thickBot="1">
      <c r="A339" s="66">
        <v>0.70833333333333404</v>
      </c>
      <c r="B339" s="67"/>
      <c r="C339" s="68"/>
      <c r="D339" s="69"/>
      <c r="E339" s="70"/>
      <c r="F339" s="66">
        <v>0.70833333333333404</v>
      </c>
      <c r="G339" s="67"/>
      <c r="H339" s="68"/>
      <c r="I339" s="69"/>
      <c r="J339" s="70"/>
      <c r="K339" s="66">
        <v>0.70833333333333404</v>
      </c>
      <c r="L339" s="67"/>
      <c r="M339" s="68"/>
      <c r="N339" s="69"/>
      <c r="O339" s="70"/>
    </row>
  </sheetData>
  <mergeCells count="10">
    <mergeCell ref="A140:E140"/>
    <mergeCell ref="A1:E1"/>
    <mergeCell ref="A35:E35"/>
    <mergeCell ref="A69:E69"/>
    <mergeCell ref="A104:E104"/>
    <mergeCell ref="A176:E176"/>
    <mergeCell ref="A212:E212"/>
    <mergeCell ref="A248:E248"/>
    <mergeCell ref="A282:E282"/>
    <mergeCell ref="A317:E317"/>
  </mergeCells>
  <conditionalFormatting sqref="A35">
    <cfRule type="containsText" dxfId="147" priority="194" operator="containsText" text="DELETE TABLE">
      <formula>NOT(ISERROR(SEARCH("DELETE TABLE",A35)))</formula>
    </cfRule>
  </conditionalFormatting>
  <conditionalFormatting sqref="A69">
    <cfRule type="containsText" dxfId="146" priority="168" operator="containsText" text="DELETE TABLE">
      <formula>NOT(ISERROR(SEARCH("DELETE TABLE",A69)))</formula>
    </cfRule>
  </conditionalFormatting>
  <conditionalFormatting sqref="A104">
    <cfRule type="containsText" dxfId="145" priority="161" operator="containsText" text="DELETE TABLE">
      <formula>NOT(ISERROR(SEARCH("DELETE TABLE",A104)))</formula>
    </cfRule>
  </conditionalFormatting>
  <conditionalFormatting sqref="A140">
    <cfRule type="containsText" dxfId="144" priority="154" operator="containsText" text="DELETE TABLE">
      <formula>NOT(ISERROR(SEARCH("DELETE TABLE",A140)))</formula>
    </cfRule>
  </conditionalFormatting>
  <conditionalFormatting sqref="A176">
    <cfRule type="containsText" dxfId="143" priority="145" operator="containsText" text="DELETE TABLE">
      <formula>NOT(ISERROR(SEARCH("DELETE TABLE",A176)))</formula>
    </cfRule>
  </conditionalFormatting>
  <conditionalFormatting sqref="A212">
    <cfRule type="containsText" dxfId="142" priority="138" operator="containsText" text="DELETE TABLE">
      <formula>NOT(ISERROR(SEARCH("DELETE TABLE",A212)))</formula>
    </cfRule>
  </conditionalFormatting>
  <conditionalFormatting sqref="A248">
    <cfRule type="containsText" dxfId="141" priority="131" operator="containsText" text="DELETE TABLE">
      <formula>NOT(ISERROR(SEARCH("DELETE TABLE",A248)))</formula>
    </cfRule>
  </conditionalFormatting>
  <conditionalFormatting sqref="A282">
    <cfRule type="containsText" dxfId="140" priority="124" operator="containsText" text="DELETE TABLE">
      <formula>NOT(ISERROR(SEARCH("DELETE TABLE",A282)))</formula>
    </cfRule>
  </conditionalFormatting>
  <conditionalFormatting sqref="A317">
    <cfRule type="containsText" dxfId="139" priority="117" operator="containsText" text="DELETE TABLE">
      <formula>NOT(ISERROR(SEARCH("DELETE TABLE",A317)))</formula>
    </cfRule>
  </conditionalFormatting>
  <conditionalFormatting sqref="A1:E1">
    <cfRule type="containsText" dxfId="138" priority="152" operator="containsText" text="USE OTHER AUDIT TIMETABLE TEMPLATE">
      <formula>NOT(ISERROR(SEARCH("USE OTHER AUDIT TIMETABLE TEMPLATE",A1)))</formula>
    </cfRule>
  </conditionalFormatting>
  <conditionalFormatting sqref="C3 E3 H3 J3 M3 O3 C37 E37 H37 J37 M37 O37 C71 E71 H71 J71 M71 O71 C106 E106 H106 J106 M106 O106 C142 E142 H142 J142 M142 O142 C178 E178 H178 J178 M178 O178 C214 E214 H214 J214 M214 O214 C250 E250 H250 J250 M250 O250 C284 E284 H284 J284 M284 O284 C319 E319 H319 J319 M319 O319">
    <cfRule type="containsText" dxfId="137" priority="1" operator="containsText" text="&lt;&lt;">
      <formula>NOT(ISERROR(SEARCH("&lt;&lt;",C3)))</formula>
    </cfRule>
  </conditionalFormatting>
  <conditionalFormatting sqref="E2 H2 M2">
    <cfRule type="containsText" dxfId="136" priority="2" operator="containsText" text="dd/mm/yyyy">
      <formula>NOT(ISERROR(SEARCH("dd/mm/yyyy",E2)))</formula>
    </cfRule>
  </conditionalFormatting>
  <conditionalFormatting sqref="E3">
    <cfRule type="containsText" dxfId="135" priority="153" operator="containsText" text="USE OTHER TIMETABLE TEMPLATE">
      <formula>NOT(ISERROR(SEARCH("USE OTHER TIMETABLE TEMPLATE",E3)))</formula>
    </cfRule>
  </conditionalFormatting>
  <conditionalFormatting sqref="E36">
    <cfRule type="containsText" dxfId="134" priority="195" operator="containsText" text="DELETE TABLE">
      <formula>NOT(ISERROR(SEARCH("DELETE TABLE",E36)))</formula>
    </cfRule>
  </conditionalFormatting>
  <conditionalFormatting sqref="E70">
    <cfRule type="containsText" dxfId="133" priority="174" operator="containsText" text="DELETE TABLE">
      <formula>NOT(ISERROR(SEARCH("DELETE TABLE",E70)))</formula>
    </cfRule>
  </conditionalFormatting>
  <conditionalFormatting sqref="E105">
    <cfRule type="containsText" dxfId="132" priority="167" operator="containsText" text="DELETE TABLE">
      <formula>NOT(ISERROR(SEARCH("DELETE TABLE",E105)))</formula>
    </cfRule>
  </conditionalFormatting>
  <conditionalFormatting sqref="E141">
    <cfRule type="containsText" dxfId="131" priority="160" operator="containsText" text="DELETE TABLE">
      <formula>NOT(ISERROR(SEARCH("DELETE TABLE",E141)))</formula>
    </cfRule>
  </conditionalFormatting>
  <conditionalFormatting sqref="E177">
    <cfRule type="containsText" dxfId="130" priority="151" operator="containsText" text="DELETE TABLE">
      <formula>NOT(ISERROR(SEARCH("DELETE TABLE",E177)))</formula>
    </cfRule>
  </conditionalFormatting>
  <conditionalFormatting sqref="E213">
    <cfRule type="containsText" dxfId="129" priority="144" operator="containsText" text="DELETE TABLE">
      <formula>NOT(ISERROR(SEARCH("DELETE TABLE",E213)))</formula>
    </cfRule>
  </conditionalFormatting>
  <conditionalFormatting sqref="E249">
    <cfRule type="containsText" dxfId="128" priority="137" operator="containsText" text="DELETE TABLE">
      <formula>NOT(ISERROR(SEARCH("DELETE TABLE",E249)))</formula>
    </cfRule>
  </conditionalFormatting>
  <conditionalFormatting sqref="E283">
    <cfRule type="containsText" dxfId="127" priority="130" operator="containsText" text="DELETE TABLE">
      <formula>NOT(ISERROR(SEARCH("DELETE TABLE",E283)))</formula>
    </cfRule>
  </conditionalFormatting>
  <conditionalFormatting sqref="E318">
    <cfRule type="containsText" dxfId="126" priority="123" operator="containsText" text="DELETE TABLE">
      <formula>NOT(ISERROR(SEARCH("DELETE TABLE",E318)))</formula>
    </cfRule>
  </conditionalFormatting>
  <conditionalFormatting sqref="G3">
    <cfRule type="containsText" dxfId="125" priority="80" operator="containsText" text="delete column">
      <formula>NOT(ISERROR(SEARCH("delete column",G3)))</formula>
    </cfRule>
  </conditionalFormatting>
  <conditionalFormatting sqref="G37">
    <cfRule type="containsText" dxfId="124" priority="72" operator="containsText" text="delete column">
      <formula>NOT(ISERROR(SEARCH("delete column",G37)))</formula>
    </cfRule>
  </conditionalFormatting>
  <conditionalFormatting sqref="G71">
    <cfRule type="containsText" dxfId="123" priority="64" operator="containsText" text="delete column">
      <formula>NOT(ISERROR(SEARCH("delete column",G71)))</formula>
    </cfRule>
  </conditionalFormatting>
  <conditionalFormatting sqref="G106">
    <cfRule type="containsText" dxfId="122" priority="56" operator="containsText" text="delete column">
      <formula>NOT(ISERROR(SEARCH("delete column",G106)))</formula>
    </cfRule>
  </conditionalFormatting>
  <conditionalFormatting sqref="G142">
    <cfRule type="containsText" dxfId="121" priority="48" operator="containsText" text="delete column">
      <formula>NOT(ISERROR(SEARCH("delete column",G142)))</formula>
    </cfRule>
  </conditionalFormatting>
  <conditionalFormatting sqref="G178">
    <cfRule type="containsText" dxfId="120" priority="40" operator="containsText" text="delete column">
      <formula>NOT(ISERROR(SEARCH("delete column",G178)))</formula>
    </cfRule>
  </conditionalFormatting>
  <conditionalFormatting sqref="G214">
    <cfRule type="containsText" dxfId="119" priority="32" operator="containsText" text="delete column">
      <formula>NOT(ISERROR(SEARCH("delete column",G214)))</formula>
    </cfRule>
  </conditionalFormatting>
  <conditionalFormatting sqref="G250">
    <cfRule type="containsText" dxfId="118" priority="24" operator="containsText" text="delete column">
      <formula>NOT(ISERROR(SEARCH("delete column",G250)))</formula>
    </cfRule>
  </conditionalFormatting>
  <conditionalFormatting sqref="G284">
    <cfRule type="containsText" dxfId="117" priority="16" operator="containsText" text="delete column">
      <formula>NOT(ISERROR(SEARCH("delete column",G284)))</formula>
    </cfRule>
  </conditionalFormatting>
  <conditionalFormatting sqref="G319">
    <cfRule type="containsText" dxfId="116" priority="8" operator="containsText" text="delete column">
      <formula>NOT(ISERROR(SEARCH("delete column",G319)))</formula>
    </cfRule>
  </conditionalFormatting>
  <conditionalFormatting sqref="H3">
    <cfRule type="containsText" dxfId="115" priority="181" operator="containsText" text="DELETE COLUMN">
      <formula>NOT(ISERROR(SEARCH("DELETE COLUMN",H3)))</formula>
    </cfRule>
  </conditionalFormatting>
  <conditionalFormatting sqref="H36">
    <cfRule type="containsText" dxfId="114" priority="193" operator="containsText" text="DELETE TABLE">
      <formula>NOT(ISERROR(SEARCH("DELETE TABLE",H36)))</formula>
    </cfRule>
  </conditionalFormatting>
  <conditionalFormatting sqref="H37">
    <cfRule type="containsText" dxfId="113" priority="74" operator="containsText" text="DELETE COLUMN">
      <formula>NOT(ISERROR(SEARCH("DELETE COLUMN",H37)))</formula>
    </cfRule>
  </conditionalFormatting>
  <conditionalFormatting sqref="H70">
    <cfRule type="containsText" dxfId="112" priority="173" operator="containsText" text="DELETE TABLE">
      <formula>NOT(ISERROR(SEARCH("DELETE TABLE",H70)))</formula>
    </cfRule>
  </conditionalFormatting>
  <conditionalFormatting sqref="H71">
    <cfRule type="containsText" dxfId="111" priority="66" operator="containsText" text="DELETE COLUMN">
      <formula>NOT(ISERROR(SEARCH("DELETE COLUMN",H71)))</formula>
    </cfRule>
  </conditionalFormatting>
  <conditionalFormatting sqref="H105">
    <cfRule type="containsText" dxfId="110" priority="166" operator="containsText" text="DELETE TABLE">
      <formula>NOT(ISERROR(SEARCH("DELETE TABLE",H105)))</formula>
    </cfRule>
  </conditionalFormatting>
  <conditionalFormatting sqref="H106">
    <cfRule type="containsText" dxfId="109" priority="58" operator="containsText" text="DELETE COLUMN">
      <formula>NOT(ISERROR(SEARCH("DELETE COLUMN",H106)))</formula>
    </cfRule>
  </conditionalFormatting>
  <conditionalFormatting sqref="H141">
    <cfRule type="containsText" dxfId="108" priority="159" operator="containsText" text="DELETE TABLE">
      <formula>NOT(ISERROR(SEARCH("DELETE TABLE",H141)))</formula>
    </cfRule>
  </conditionalFormatting>
  <conditionalFormatting sqref="H142">
    <cfRule type="containsText" dxfId="107" priority="50" operator="containsText" text="DELETE COLUMN">
      <formula>NOT(ISERROR(SEARCH("DELETE COLUMN",H142)))</formula>
    </cfRule>
  </conditionalFormatting>
  <conditionalFormatting sqref="H177">
    <cfRule type="containsText" dxfId="106" priority="150" operator="containsText" text="DELETE TABLE">
      <formula>NOT(ISERROR(SEARCH("DELETE TABLE",H177)))</formula>
    </cfRule>
  </conditionalFormatting>
  <conditionalFormatting sqref="H178">
    <cfRule type="containsText" dxfId="105" priority="42" operator="containsText" text="DELETE COLUMN">
      <formula>NOT(ISERROR(SEARCH("DELETE COLUMN",H178)))</formula>
    </cfRule>
  </conditionalFormatting>
  <conditionalFormatting sqref="H213">
    <cfRule type="containsText" dxfId="104" priority="143" operator="containsText" text="DELETE TABLE">
      <formula>NOT(ISERROR(SEARCH("DELETE TABLE",H213)))</formula>
    </cfRule>
  </conditionalFormatting>
  <conditionalFormatting sqref="H214">
    <cfRule type="containsText" dxfId="103" priority="34" operator="containsText" text="DELETE COLUMN">
      <formula>NOT(ISERROR(SEARCH("DELETE COLUMN",H214)))</formula>
    </cfRule>
  </conditionalFormatting>
  <conditionalFormatting sqref="H249">
    <cfRule type="containsText" dxfId="102" priority="136" operator="containsText" text="DELETE TABLE">
      <formula>NOT(ISERROR(SEARCH("DELETE TABLE",H249)))</formula>
    </cfRule>
  </conditionalFormatting>
  <conditionalFormatting sqref="H250">
    <cfRule type="containsText" dxfId="101" priority="26" operator="containsText" text="DELETE COLUMN">
      <formula>NOT(ISERROR(SEARCH("DELETE COLUMN",H250)))</formula>
    </cfRule>
  </conditionalFormatting>
  <conditionalFormatting sqref="H283">
    <cfRule type="containsText" dxfId="100" priority="129" operator="containsText" text="DELETE TABLE">
      <formula>NOT(ISERROR(SEARCH("DELETE TABLE",H283)))</formula>
    </cfRule>
  </conditionalFormatting>
  <conditionalFormatting sqref="H284">
    <cfRule type="containsText" dxfId="99" priority="18" operator="containsText" text="DELETE COLUMN">
      <formula>NOT(ISERROR(SEARCH("DELETE COLUMN",H284)))</formula>
    </cfRule>
  </conditionalFormatting>
  <conditionalFormatting sqref="H318">
    <cfRule type="containsText" dxfId="98" priority="122" operator="containsText" text="DELETE TABLE">
      <formula>NOT(ISERROR(SEARCH("DELETE TABLE",H318)))</formula>
    </cfRule>
  </conditionalFormatting>
  <conditionalFormatting sqref="H319">
    <cfRule type="containsText" dxfId="97" priority="10" operator="containsText" text="DELETE COLUMN">
      <formula>NOT(ISERROR(SEARCH("DELETE COLUMN",H319)))</formula>
    </cfRule>
  </conditionalFormatting>
  <conditionalFormatting sqref="I3">
    <cfRule type="containsText" dxfId="96" priority="79" operator="containsText" text="delete column">
      <formula>NOT(ISERROR(SEARCH("delete column",I3)))</formula>
    </cfRule>
  </conditionalFormatting>
  <conditionalFormatting sqref="I37">
    <cfRule type="containsText" dxfId="95" priority="71" operator="containsText" text="delete column">
      <formula>NOT(ISERROR(SEARCH("delete column",I37)))</formula>
    </cfRule>
  </conditionalFormatting>
  <conditionalFormatting sqref="I71">
    <cfRule type="containsText" dxfId="94" priority="63" operator="containsText" text="delete column">
      <formula>NOT(ISERROR(SEARCH("delete column",I71)))</formula>
    </cfRule>
  </conditionalFormatting>
  <conditionalFormatting sqref="I106">
    <cfRule type="containsText" dxfId="93" priority="55" operator="containsText" text="delete column">
      <formula>NOT(ISERROR(SEARCH("delete column",I106)))</formula>
    </cfRule>
  </conditionalFormatting>
  <conditionalFormatting sqref="I142">
    <cfRule type="containsText" dxfId="92" priority="47" operator="containsText" text="delete column">
      <formula>NOT(ISERROR(SEARCH("delete column",I142)))</formula>
    </cfRule>
  </conditionalFormatting>
  <conditionalFormatting sqref="I178">
    <cfRule type="containsText" dxfId="91" priority="39" operator="containsText" text="delete column">
      <formula>NOT(ISERROR(SEARCH("delete column",I178)))</formula>
    </cfRule>
  </conditionalFormatting>
  <conditionalFormatting sqref="I214">
    <cfRule type="containsText" dxfId="90" priority="31" operator="containsText" text="delete column">
      <formula>NOT(ISERROR(SEARCH("delete column",I214)))</formula>
    </cfRule>
  </conditionalFormatting>
  <conditionalFormatting sqref="I250">
    <cfRule type="containsText" dxfId="89" priority="23" operator="containsText" text="delete column">
      <formula>NOT(ISERROR(SEARCH("delete column",I250)))</formula>
    </cfRule>
  </conditionalFormatting>
  <conditionalFormatting sqref="I284">
    <cfRule type="containsText" dxfId="88" priority="15" operator="containsText" text="delete column">
      <formula>NOT(ISERROR(SEARCH("delete column",I284)))</formula>
    </cfRule>
  </conditionalFormatting>
  <conditionalFormatting sqref="I319">
    <cfRule type="containsText" dxfId="87" priority="7" operator="containsText" text="delete column">
      <formula>NOT(ISERROR(SEARCH("delete column",I319)))</formula>
    </cfRule>
  </conditionalFormatting>
  <conditionalFormatting sqref="J3">
    <cfRule type="containsText" dxfId="86" priority="180" operator="containsText" text="DELETE COLUMN">
      <formula>NOT(ISERROR(SEARCH("DELETE COLUMN",J3)))</formula>
    </cfRule>
  </conditionalFormatting>
  <conditionalFormatting sqref="J37">
    <cfRule type="containsText" dxfId="85" priority="73" operator="containsText" text="DELETE COLUMN">
      <formula>NOT(ISERROR(SEARCH("DELETE COLUMN",J37)))</formula>
    </cfRule>
  </conditionalFormatting>
  <conditionalFormatting sqref="J71">
    <cfRule type="containsText" dxfId="84" priority="65" operator="containsText" text="DELETE COLUMN">
      <formula>NOT(ISERROR(SEARCH("DELETE COLUMN",J71)))</formula>
    </cfRule>
  </conditionalFormatting>
  <conditionalFormatting sqref="J106">
    <cfRule type="containsText" dxfId="83" priority="57" operator="containsText" text="DELETE COLUMN">
      <formula>NOT(ISERROR(SEARCH("DELETE COLUMN",J106)))</formula>
    </cfRule>
  </conditionalFormatting>
  <conditionalFormatting sqref="J142">
    <cfRule type="containsText" dxfId="82" priority="49" operator="containsText" text="DELETE COLUMN">
      <formula>NOT(ISERROR(SEARCH("DELETE COLUMN",J142)))</formula>
    </cfRule>
  </conditionalFormatting>
  <conditionalFormatting sqref="J178">
    <cfRule type="containsText" dxfId="81" priority="41" operator="containsText" text="DELETE COLUMN">
      <formula>NOT(ISERROR(SEARCH("DELETE COLUMN",J178)))</formula>
    </cfRule>
  </conditionalFormatting>
  <conditionalFormatting sqref="J214">
    <cfRule type="containsText" dxfId="80" priority="33" operator="containsText" text="DELETE COLUMN">
      <formula>NOT(ISERROR(SEARCH("DELETE COLUMN",J214)))</formula>
    </cfRule>
  </conditionalFormatting>
  <conditionalFormatting sqref="J250">
    <cfRule type="containsText" dxfId="79" priority="25" operator="containsText" text="DELETE COLUMN">
      <formula>NOT(ISERROR(SEARCH("DELETE COLUMN",J250)))</formula>
    </cfRule>
  </conditionalFormatting>
  <conditionalFormatting sqref="J284">
    <cfRule type="containsText" dxfId="78" priority="17" operator="containsText" text="DELETE COLUMN">
      <formula>NOT(ISERROR(SEARCH("DELETE COLUMN",J284)))</formula>
    </cfRule>
  </conditionalFormatting>
  <conditionalFormatting sqref="J319">
    <cfRule type="containsText" dxfId="77" priority="9" operator="containsText" text="DELETE COLUMN">
      <formula>NOT(ISERROR(SEARCH("DELETE COLUMN",J319)))</formula>
    </cfRule>
  </conditionalFormatting>
  <conditionalFormatting sqref="L3">
    <cfRule type="containsText" dxfId="76" priority="76" operator="containsText" text="delete column">
      <formula>NOT(ISERROR(SEARCH("delete column",L3)))</formula>
    </cfRule>
  </conditionalFormatting>
  <conditionalFormatting sqref="L37">
    <cfRule type="containsText" dxfId="75" priority="68" operator="containsText" text="delete column">
      <formula>NOT(ISERROR(SEARCH("delete column",L37)))</formula>
    </cfRule>
  </conditionalFormatting>
  <conditionalFormatting sqref="L71">
    <cfRule type="containsText" dxfId="74" priority="60" operator="containsText" text="delete column">
      <formula>NOT(ISERROR(SEARCH("delete column",L71)))</formula>
    </cfRule>
  </conditionalFormatting>
  <conditionalFormatting sqref="L106">
    <cfRule type="containsText" dxfId="73" priority="52" operator="containsText" text="delete column">
      <formula>NOT(ISERROR(SEARCH("delete column",L106)))</formula>
    </cfRule>
  </conditionalFormatting>
  <conditionalFormatting sqref="L142">
    <cfRule type="containsText" dxfId="72" priority="44" operator="containsText" text="delete column">
      <formula>NOT(ISERROR(SEARCH("delete column",L142)))</formula>
    </cfRule>
  </conditionalFormatting>
  <conditionalFormatting sqref="L178">
    <cfRule type="containsText" dxfId="71" priority="36" operator="containsText" text="delete column">
      <formula>NOT(ISERROR(SEARCH("delete column",L178)))</formula>
    </cfRule>
  </conditionalFormatting>
  <conditionalFormatting sqref="L214">
    <cfRule type="containsText" dxfId="70" priority="28" operator="containsText" text="delete column">
      <formula>NOT(ISERROR(SEARCH("delete column",L214)))</formula>
    </cfRule>
  </conditionalFormatting>
  <conditionalFormatting sqref="L250">
    <cfRule type="containsText" dxfId="69" priority="20" operator="containsText" text="delete column">
      <formula>NOT(ISERROR(SEARCH("delete column",L250)))</formula>
    </cfRule>
  </conditionalFormatting>
  <conditionalFormatting sqref="L284">
    <cfRule type="containsText" dxfId="68" priority="12" operator="containsText" text="delete column">
      <formula>NOT(ISERROR(SEARCH("delete column",L284)))</formula>
    </cfRule>
  </conditionalFormatting>
  <conditionalFormatting sqref="L319">
    <cfRule type="containsText" dxfId="67" priority="4" operator="containsText" text="delete column">
      <formula>NOT(ISERROR(SEARCH("delete column",L319)))</formula>
    </cfRule>
  </conditionalFormatting>
  <conditionalFormatting sqref="M3">
    <cfRule type="containsText" dxfId="66" priority="78" operator="containsText" text="DELETE COLUMN">
      <formula>NOT(ISERROR(SEARCH("DELETE COLUMN",M3)))</formula>
    </cfRule>
  </conditionalFormatting>
  <conditionalFormatting sqref="M36">
    <cfRule type="containsText" dxfId="65" priority="192" operator="containsText" text="DELETE TABLE">
      <formula>NOT(ISERROR(SEARCH("DELETE TABLE",M36)))</formula>
    </cfRule>
  </conditionalFormatting>
  <conditionalFormatting sqref="M37">
    <cfRule type="containsText" dxfId="64" priority="70" operator="containsText" text="DELETE COLUMN">
      <formula>NOT(ISERROR(SEARCH("DELETE COLUMN",M37)))</formula>
    </cfRule>
  </conditionalFormatting>
  <conditionalFormatting sqref="M70">
    <cfRule type="containsText" dxfId="63" priority="172" operator="containsText" text="DELETE TABLE">
      <formula>NOT(ISERROR(SEARCH("DELETE TABLE",M70)))</formula>
    </cfRule>
  </conditionalFormatting>
  <conditionalFormatting sqref="M71">
    <cfRule type="containsText" dxfId="62" priority="62" operator="containsText" text="DELETE COLUMN">
      <formula>NOT(ISERROR(SEARCH("DELETE COLUMN",M71)))</formula>
    </cfRule>
  </conditionalFormatting>
  <conditionalFormatting sqref="M105">
    <cfRule type="containsText" dxfId="61" priority="165" operator="containsText" text="DELETE TABLE">
      <formula>NOT(ISERROR(SEARCH("DELETE TABLE",M105)))</formula>
    </cfRule>
  </conditionalFormatting>
  <conditionalFormatting sqref="M106">
    <cfRule type="containsText" dxfId="60" priority="54" operator="containsText" text="DELETE COLUMN">
      <formula>NOT(ISERROR(SEARCH("DELETE COLUMN",M106)))</formula>
    </cfRule>
  </conditionalFormatting>
  <conditionalFormatting sqref="M141">
    <cfRule type="containsText" dxfId="59" priority="158" operator="containsText" text="DELETE TABLE">
      <formula>NOT(ISERROR(SEARCH("DELETE TABLE",M141)))</formula>
    </cfRule>
  </conditionalFormatting>
  <conditionalFormatting sqref="M142">
    <cfRule type="containsText" dxfId="58" priority="46" operator="containsText" text="DELETE COLUMN">
      <formula>NOT(ISERROR(SEARCH("DELETE COLUMN",M142)))</formula>
    </cfRule>
  </conditionalFormatting>
  <conditionalFormatting sqref="M177">
    <cfRule type="containsText" dxfId="57" priority="149" operator="containsText" text="DELETE TABLE">
      <formula>NOT(ISERROR(SEARCH("DELETE TABLE",M177)))</formula>
    </cfRule>
  </conditionalFormatting>
  <conditionalFormatting sqref="M178">
    <cfRule type="containsText" dxfId="56" priority="38" operator="containsText" text="DELETE COLUMN">
      <formula>NOT(ISERROR(SEARCH("DELETE COLUMN",M178)))</formula>
    </cfRule>
  </conditionalFormatting>
  <conditionalFormatting sqref="M213">
    <cfRule type="containsText" dxfId="55" priority="142" operator="containsText" text="DELETE TABLE">
      <formula>NOT(ISERROR(SEARCH("DELETE TABLE",M213)))</formula>
    </cfRule>
  </conditionalFormatting>
  <conditionalFormatting sqref="M214">
    <cfRule type="containsText" dxfId="54" priority="30" operator="containsText" text="DELETE COLUMN">
      <formula>NOT(ISERROR(SEARCH("DELETE COLUMN",M214)))</formula>
    </cfRule>
  </conditionalFormatting>
  <conditionalFormatting sqref="M249">
    <cfRule type="containsText" dxfId="53" priority="135" operator="containsText" text="DELETE TABLE">
      <formula>NOT(ISERROR(SEARCH("DELETE TABLE",M249)))</formula>
    </cfRule>
  </conditionalFormatting>
  <conditionalFormatting sqref="M250">
    <cfRule type="containsText" dxfId="52" priority="22" operator="containsText" text="DELETE COLUMN">
      <formula>NOT(ISERROR(SEARCH("DELETE COLUMN",M250)))</formula>
    </cfRule>
  </conditionalFormatting>
  <conditionalFormatting sqref="M283">
    <cfRule type="containsText" dxfId="51" priority="128" operator="containsText" text="DELETE TABLE">
      <formula>NOT(ISERROR(SEARCH("DELETE TABLE",M283)))</formula>
    </cfRule>
  </conditionalFormatting>
  <conditionalFormatting sqref="M284">
    <cfRule type="containsText" dxfId="50" priority="14" operator="containsText" text="DELETE COLUMN">
      <formula>NOT(ISERROR(SEARCH("DELETE COLUMN",M284)))</formula>
    </cfRule>
  </conditionalFormatting>
  <conditionalFormatting sqref="M318">
    <cfRule type="containsText" dxfId="49" priority="121" operator="containsText" text="DELETE TABLE">
      <formula>NOT(ISERROR(SEARCH("DELETE TABLE",M318)))</formula>
    </cfRule>
  </conditionalFormatting>
  <conditionalFormatting sqref="M319">
    <cfRule type="containsText" dxfId="48" priority="6" operator="containsText" text="DELETE COLUMN">
      <formula>NOT(ISERROR(SEARCH("DELETE COLUMN",M319)))</formula>
    </cfRule>
  </conditionalFormatting>
  <conditionalFormatting sqref="N3">
    <cfRule type="containsText" dxfId="47" priority="75" operator="containsText" text="delete column">
      <formula>NOT(ISERROR(SEARCH("delete column",N3)))</formula>
    </cfRule>
  </conditionalFormatting>
  <conditionalFormatting sqref="N37">
    <cfRule type="containsText" dxfId="46" priority="67" operator="containsText" text="delete column">
      <formula>NOT(ISERROR(SEARCH("delete column",N37)))</formula>
    </cfRule>
  </conditionalFormatting>
  <conditionalFormatting sqref="N71">
    <cfRule type="containsText" dxfId="45" priority="59" operator="containsText" text="delete column">
      <formula>NOT(ISERROR(SEARCH("delete column",N71)))</formula>
    </cfRule>
  </conditionalFormatting>
  <conditionalFormatting sqref="N106">
    <cfRule type="containsText" dxfId="44" priority="51" operator="containsText" text="delete column">
      <formula>NOT(ISERROR(SEARCH("delete column",N106)))</formula>
    </cfRule>
  </conditionalFormatting>
  <conditionalFormatting sqref="N142">
    <cfRule type="containsText" dxfId="43" priority="43" operator="containsText" text="delete column">
      <formula>NOT(ISERROR(SEARCH("delete column",N142)))</formula>
    </cfRule>
  </conditionalFormatting>
  <conditionalFormatting sqref="N178">
    <cfRule type="containsText" dxfId="42" priority="35" operator="containsText" text="delete column">
      <formula>NOT(ISERROR(SEARCH("delete column",N178)))</formula>
    </cfRule>
  </conditionalFormatting>
  <conditionalFormatting sqref="N214">
    <cfRule type="containsText" dxfId="41" priority="27" operator="containsText" text="delete column">
      <formula>NOT(ISERROR(SEARCH("delete column",N214)))</formula>
    </cfRule>
  </conditionalFormatting>
  <conditionalFormatting sqref="N250">
    <cfRule type="containsText" dxfId="40" priority="19" operator="containsText" text="delete column">
      <formula>NOT(ISERROR(SEARCH("delete column",N250)))</formula>
    </cfRule>
  </conditionalFormatting>
  <conditionalFormatting sqref="N284">
    <cfRule type="containsText" dxfId="39" priority="11" operator="containsText" text="delete column">
      <formula>NOT(ISERROR(SEARCH("delete column",N284)))</formula>
    </cfRule>
  </conditionalFormatting>
  <conditionalFormatting sqref="N319">
    <cfRule type="containsText" dxfId="38" priority="3" operator="containsText" text="delete column">
      <formula>NOT(ISERROR(SEARCH("delete column",N319)))</formula>
    </cfRule>
  </conditionalFormatting>
  <conditionalFormatting sqref="O3">
    <cfRule type="containsText" dxfId="37" priority="77" operator="containsText" text="DELETE COLUMN">
      <formula>NOT(ISERROR(SEARCH("DELETE COLUMN",O3)))</formula>
    </cfRule>
  </conditionalFormatting>
  <conditionalFormatting sqref="O37">
    <cfRule type="containsText" dxfId="36" priority="69" operator="containsText" text="DELETE COLUMN">
      <formula>NOT(ISERROR(SEARCH("DELETE COLUMN",O37)))</formula>
    </cfRule>
  </conditionalFormatting>
  <conditionalFormatting sqref="O71">
    <cfRule type="containsText" dxfId="35" priority="61" operator="containsText" text="DELETE COLUMN">
      <formula>NOT(ISERROR(SEARCH("DELETE COLUMN",O71)))</formula>
    </cfRule>
  </conditionalFormatting>
  <conditionalFormatting sqref="O106">
    <cfRule type="containsText" dxfId="34" priority="53" operator="containsText" text="DELETE COLUMN">
      <formula>NOT(ISERROR(SEARCH("DELETE COLUMN",O106)))</formula>
    </cfRule>
  </conditionalFormatting>
  <conditionalFormatting sqref="O142">
    <cfRule type="containsText" dxfId="33" priority="45" operator="containsText" text="DELETE COLUMN">
      <formula>NOT(ISERROR(SEARCH("DELETE COLUMN",O142)))</formula>
    </cfRule>
  </conditionalFormatting>
  <conditionalFormatting sqref="O178">
    <cfRule type="containsText" dxfId="32" priority="37" operator="containsText" text="DELETE COLUMN">
      <formula>NOT(ISERROR(SEARCH("DELETE COLUMN",O178)))</formula>
    </cfRule>
  </conditionalFormatting>
  <conditionalFormatting sqref="O214">
    <cfRule type="containsText" dxfId="31" priority="29" operator="containsText" text="DELETE COLUMN">
      <formula>NOT(ISERROR(SEARCH("DELETE COLUMN",O214)))</formula>
    </cfRule>
  </conditionalFormatting>
  <conditionalFormatting sqref="O250">
    <cfRule type="containsText" dxfId="30" priority="21" operator="containsText" text="DELETE COLUMN">
      <formula>NOT(ISERROR(SEARCH("DELETE COLUMN",O250)))</formula>
    </cfRule>
  </conditionalFormatting>
  <conditionalFormatting sqref="O284">
    <cfRule type="containsText" dxfId="29" priority="13" operator="containsText" text="DELETE COLUMN">
      <formula>NOT(ISERROR(SEARCH("DELETE COLUMN",O284)))</formula>
    </cfRule>
  </conditionalFormatting>
  <conditionalFormatting sqref="O319">
    <cfRule type="containsText" dxfId="28" priority="5" operator="containsText" text="DELETE COLUMN">
      <formula>NOT(ISERROR(SEARCH("DELETE COLUMN",O319)))</formula>
    </cfRule>
  </conditionalFormatting>
  <pageMargins left="0.7" right="0.7" top="0.75" bottom="0.75" header="0.3" footer="0.3"/>
  <pageSetup paperSize="9" orientation="portrait" verticalDpi="1200" r:id="rId1"/>
  <headerFooter>
    <oddFooter>&amp;L&amp;"Arial,Regular"&amp;8&lt;&lt;footer&gt;&gt;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7"/>
  <sheetViews>
    <sheetView view="pageLayout" topLeftCell="A44" zoomScaleNormal="100" workbookViewId="0">
      <selection activeCell="B28" sqref="B28"/>
    </sheetView>
  </sheetViews>
  <sheetFormatPr defaultColWidth="8.85546875" defaultRowHeight="14.1"/>
  <cols>
    <col min="1" max="1" width="8.85546875" style="5"/>
    <col min="2" max="4" width="19.140625" style="5" customWidth="1"/>
    <col min="5" max="5" width="19.140625" style="5" bestFit="1" customWidth="1"/>
    <col min="6" max="6" width="8.85546875" style="5"/>
    <col min="7" max="10" width="19.28515625" style="5" customWidth="1"/>
    <col min="11" max="11" width="8.85546875" style="5"/>
    <col min="12" max="15" width="19.140625" style="5" customWidth="1"/>
    <col min="16" max="16384" width="8.85546875" style="5"/>
  </cols>
  <sheetData>
    <row r="1" spans="1:5" ht="20.100000000000001">
      <c r="A1" s="141" t="str">
        <f>IF('Audit information'!B9=0,(IF('Audit information'!B3=1,"Audit Timetable","Audit Timetable - Day 1")),"USE OTHER AUDIT TIMETABLE TEMPLATE")</f>
        <v>USE OTHER AUDIT TIMETABLE TEMPLATE</v>
      </c>
      <c r="B1" s="141"/>
      <c r="C1" s="141"/>
      <c r="D1" s="141"/>
      <c r="E1" s="141"/>
    </row>
    <row r="2" spans="1:5" s="49" customFormat="1" ht="20.45" thickBot="1">
      <c r="A2" s="110"/>
      <c r="B2" s="111"/>
      <c r="C2" s="111"/>
      <c r="D2" s="77" t="s">
        <v>168</v>
      </c>
      <c r="E2" s="47" t="str">
        <f>'Audit information'!B4</f>
        <v>DD/MM/YYYY</v>
      </c>
    </row>
    <row r="3" spans="1:5" s="49" customFormat="1" ht="22.15" customHeight="1">
      <c r="A3" s="100"/>
      <c r="B3" s="50" t="s">
        <v>173</v>
      </c>
      <c r="C3" s="167" t="str">
        <f>'Audit information'!$B$8</f>
        <v>&lt;&lt;Lead auditor&gt;&gt;</v>
      </c>
      <c r="D3" s="167"/>
      <c r="E3" s="168"/>
    </row>
    <row r="4" spans="1:5" s="49" customFormat="1" ht="22.15" customHeight="1" thickBot="1">
      <c r="A4" s="100"/>
      <c r="B4" s="169" t="s">
        <v>171</v>
      </c>
      <c r="C4" s="170"/>
      <c r="D4" s="170"/>
      <c r="E4" s="55" t="s">
        <v>172</v>
      </c>
    </row>
    <row r="5" spans="1:5" s="49" customFormat="1" ht="25.9" customHeight="1">
      <c r="A5" s="56">
        <v>0.33333333333333331</v>
      </c>
      <c r="B5" s="171"/>
      <c r="C5" s="172"/>
      <c r="D5" s="172"/>
      <c r="E5" s="60"/>
    </row>
    <row r="6" spans="1:5" s="49" customFormat="1" ht="25.9" customHeight="1">
      <c r="A6" s="61">
        <v>0.35416666666666669</v>
      </c>
      <c r="B6" s="163"/>
      <c r="C6" s="164"/>
      <c r="D6" s="164"/>
      <c r="E6" s="65"/>
    </row>
    <row r="7" spans="1:5" s="49" customFormat="1" ht="25.9" customHeight="1">
      <c r="A7" s="61">
        <v>0.375</v>
      </c>
      <c r="B7" s="163"/>
      <c r="C7" s="164"/>
      <c r="D7" s="164"/>
      <c r="E7" s="65"/>
    </row>
    <row r="8" spans="1:5" s="49" customFormat="1" ht="25.9" customHeight="1">
      <c r="A8" s="61">
        <v>0.39583333333333331</v>
      </c>
      <c r="B8" s="163"/>
      <c r="C8" s="164"/>
      <c r="D8" s="164"/>
      <c r="E8" s="65"/>
    </row>
    <row r="9" spans="1:5" s="49" customFormat="1" ht="25.9" customHeight="1">
      <c r="A9" s="61">
        <v>0.41666666666666702</v>
      </c>
      <c r="B9" s="163"/>
      <c r="C9" s="164"/>
      <c r="D9" s="164"/>
      <c r="E9" s="65"/>
    </row>
    <row r="10" spans="1:5" s="49" customFormat="1" ht="25.9" customHeight="1">
      <c r="A10" s="61">
        <v>0.4375</v>
      </c>
      <c r="B10" s="163"/>
      <c r="C10" s="164"/>
      <c r="D10" s="164"/>
      <c r="E10" s="65"/>
    </row>
    <row r="11" spans="1:5" s="49" customFormat="1" ht="25.9" customHeight="1">
      <c r="A11" s="61">
        <v>0.45833333333333298</v>
      </c>
      <c r="B11" s="163"/>
      <c r="C11" s="164"/>
      <c r="D11" s="164"/>
      <c r="E11" s="65"/>
    </row>
    <row r="12" spans="1:5" s="49" customFormat="1" ht="25.9" customHeight="1">
      <c r="A12" s="61">
        <v>0.47916666666666702</v>
      </c>
      <c r="B12" s="163"/>
      <c r="C12" s="164"/>
      <c r="D12" s="164"/>
      <c r="E12" s="65"/>
    </row>
    <row r="13" spans="1:5" s="49" customFormat="1" ht="25.9" customHeight="1">
      <c r="A13" s="61">
        <v>0.5</v>
      </c>
      <c r="B13" s="163"/>
      <c r="C13" s="164"/>
      <c r="D13" s="164"/>
      <c r="E13" s="65"/>
    </row>
    <row r="14" spans="1:5" s="49" customFormat="1" ht="25.9" customHeight="1">
      <c r="A14" s="61">
        <v>0.52083333333333304</v>
      </c>
      <c r="B14" s="163"/>
      <c r="C14" s="164"/>
      <c r="D14" s="164"/>
      <c r="E14" s="65"/>
    </row>
    <row r="15" spans="1:5" s="49" customFormat="1" ht="25.9" customHeight="1">
      <c r="A15" s="61">
        <v>0.54166666666666696</v>
      </c>
      <c r="B15" s="163"/>
      <c r="C15" s="164"/>
      <c r="D15" s="164"/>
      <c r="E15" s="65"/>
    </row>
    <row r="16" spans="1:5" s="49" customFormat="1" ht="25.9" customHeight="1">
      <c r="A16" s="61">
        <v>0.5625</v>
      </c>
      <c r="B16" s="163"/>
      <c r="C16" s="164"/>
      <c r="D16" s="164"/>
      <c r="E16" s="65"/>
    </row>
    <row r="17" spans="1:5" s="49" customFormat="1" ht="25.9" customHeight="1">
      <c r="A17" s="61">
        <v>0.58333333333333304</v>
      </c>
      <c r="B17" s="163"/>
      <c r="C17" s="164"/>
      <c r="D17" s="164"/>
      <c r="E17" s="65"/>
    </row>
    <row r="18" spans="1:5" s="49" customFormat="1" ht="25.9" customHeight="1">
      <c r="A18" s="61">
        <v>0.60416666666666696</v>
      </c>
      <c r="B18" s="163"/>
      <c r="C18" s="164"/>
      <c r="D18" s="164"/>
      <c r="E18" s="65"/>
    </row>
    <row r="19" spans="1:5" s="49" customFormat="1" ht="25.9" customHeight="1">
      <c r="A19" s="61">
        <v>0.625</v>
      </c>
      <c r="B19" s="163"/>
      <c r="C19" s="164"/>
      <c r="D19" s="164"/>
      <c r="E19" s="65"/>
    </row>
    <row r="20" spans="1:5" s="49" customFormat="1" ht="25.9" customHeight="1">
      <c r="A20" s="61">
        <v>0.64583333333333404</v>
      </c>
      <c r="B20" s="163"/>
      <c r="C20" s="164"/>
      <c r="D20" s="164"/>
      <c r="E20" s="65"/>
    </row>
    <row r="21" spans="1:5" s="49" customFormat="1" ht="25.9" customHeight="1">
      <c r="A21" s="61">
        <v>0.66666666666666696</v>
      </c>
      <c r="B21" s="163"/>
      <c r="C21" s="164"/>
      <c r="D21" s="164"/>
      <c r="E21" s="65"/>
    </row>
    <row r="22" spans="1:5" s="49" customFormat="1" ht="25.9" customHeight="1">
      <c r="A22" s="61">
        <v>0.6875</v>
      </c>
      <c r="B22" s="163"/>
      <c r="C22" s="164"/>
      <c r="D22" s="164"/>
      <c r="E22" s="65"/>
    </row>
    <row r="23" spans="1:5" s="49" customFormat="1" ht="25.9" customHeight="1" thickBot="1">
      <c r="A23" s="66">
        <v>0.70833333333333404</v>
      </c>
      <c r="B23" s="165"/>
      <c r="C23" s="166"/>
      <c r="D23" s="166"/>
      <c r="E23" s="70"/>
    </row>
    <row r="35" spans="1:5" ht="20.100000000000001">
      <c r="A35" s="141" t="str">
        <f>IF('Audit information'!$B$3&gt;1,"Audit Timetable - Day 2","DELETE TABLE")</f>
        <v>Audit Timetable - Day 2</v>
      </c>
      <c r="B35" s="141"/>
      <c r="C35" s="141"/>
      <c r="D35" s="141"/>
      <c r="E35" s="141"/>
    </row>
    <row r="36" spans="1:5" s="49" customFormat="1" ht="20.45" thickBot="1">
      <c r="A36" s="110"/>
      <c r="B36" s="111"/>
      <c r="C36" s="111"/>
      <c r="D36" s="77" t="s">
        <v>168</v>
      </c>
      <c r="E36" s="47" t="e">
        <f>IF('Audit information'!$B$3&gt;1,'Audit information'!$B$4+1,"DELETE TABLE")</f>
        <v>#VALUE!</v>
      </c>
    </row>
    <row r="37" spans="1:5" s="49" customFormat="1" ht="25.15" customHeight="1">
      <c r="A37" s="100"/>
      <c r="B37" s="50" t="s">
        <v>173</v>
      </c>
      <c r="C37" s="167" t="str">
        <f>'Audit information'!$B$8</f>
        <v>&lt;&lt;Lead auditor&gt;&gt;</v>
      </c>
      <c r="D37" s="167"/>
      <c r="E37" s="168"/>
    </row>
    <row r="38" spans="1:5" s="49" customFormat="1" ht="25.15" customHeight="1" thickBot="1">
      <c r="A38" s="100"/>
      <c r="B38" s="169" t="s">
        <v>171</v>
      </c>
      <c r="C38" s="170"/>
      <c r="D38" s="170"/>
      <c r="E38" s="55" t="s">
        <v>172</v>
      </c>
    </row>
    <row r="39" spans="1:5" s="49" customFormat="1" ht="25.15" customHeight="1">
      <c r="A39" s="56">
        <v>0.33333333333333331</v>
      </c>
      <c r="B39" s="171"/>
      <c r="C39" s="172"/>
      <c r="D39" s="172"/>
      <c r="E39" s="60"/>
    </row>
    <row r="40" spans="1:5" s="49" customFormat="1" ht="25.15" customHeight="1">
      <c r="A40" s="61">
        <v>0.35416666666666669</v>
      </c>
      <c r="B40" s="163"/>
      <c r="C40" s="164"/>
      <c r="D40" s="164"/>
      <c r="E40" s="65"/>
    </row>
    <row r="41" spans="1:5" s="49" customFormat="1" ht="25.15" customHeight="1">
      <c r="A41" s="61">
        <v>0.375</v>
      </c>
      <c r="B41" s="163"/>
      <c r="C41" s="164"/>
      <c r="D41" s="164"/>
      <c r="E41" s="65"/>
    </row>
    <row r="42" spans="1:5" s="49" customFormat="1" ht="25.15" customHeight="1">
      <c r="A42" s="61">
        <v>0.39583333333333331</v>
      </c>
      <c r="B42" s="163"/>
      <c r="C42" s="164"/>
      <c r="D42" s="164"/>
      <c r="E42" s="65"/>
    </row>
    <row r="43" spans="1:5" s="49" customFormat="1" ht="25.15" customHeight="1">
      <c r="A43" s="61">
        <v>0.41666666666666702</v>
      </c>
      <c r="B43" s="163"/>
      <c r="C43" s="164"/>
      <c r="D43" s="164"/>
      <c r="E43" s="65"/>
    </row>
    <row r="44" spans="1:5" s="49" customFormat="1" ht="25.15" customHeight="1">
      <c r="A44" s="61">
        <v>0.4375</v>
      </c>
      <c r="B44" s="163"/>
      <c r="C44" s="164"/>
      <c r="D44" s="164"/>
      <c r="E44" s="65"/>
    </row>
    <row r="45" spans="1:5" s="49" customFormat="1" ht="25.15" customHeight="1">
      <c r="A45" s="61">
        <v>0.45833333333333298</v>
      </c>
      <c r="B45" s="163"/>
      <c r="C45" s="164"/>
      <c r="D45" s="164"/>
      <c r="E45" s="65"/>
    </row>
    <row r="46" spans="1:5" s="49" customFormat="1" ht="25.15" customHeight="1">
      <c r="A46" s="61">
        <v>0.47916666666666702</v>
      </c>
      <c r="B46" s="163"/>
      <c r="C46" s="164"/>
      <c r="D46" s="164"/>
      <c r="E46" s="65"/>
    </row>
    <row r="47" spans="1:5" s="49" customFormat="1" ht="25.15" customHeight="1">
      <c r="A47" s="61">
        <v>0.5</v>
      </c>
      <c r="B47" s="163"/>
      <c r="C47" s="164"/>
      <c r="D47" s="164"/>
      <c r="E47" s="65"/>
    </row>
    <row r="48" spans="1:5" s="49" customFormat="1" ht="25.15" customHeight="1">
      <c r="A48" s="61">
        <v>0.52083333333333304</v>
      </c>
      <c r="B48" s="163"/>
      <c r="C48" s="164"/>
      <c r="D48" s="164"/>
      <c r="E48" s="65"/>
    </row>
    <row r="49" spans="1:5" s="49" customFormat="1" ht="25.15" customHeight="1">
      <c r="A49" s="61">
        <v>0.54166666666666696</v>
      </c>
      <c r="B49" s="163"/>
      <c r="C49" s="164"/>
      <c r="D49" s="164"/>
      <c r="E49" s="65"/>
    </row>
    <row r="50" spans="1:5" s="49" customFormat="1" ht="25.15" customHeight="1">
      <c r="A50" s="61">
        <v>0.5625</v>
      </c>
      <c r="B50" s="163"/>
      <c r="C50" s="164"/>
      <c r="D50" s="164"/>
      <c r="E50" s="65"/>
    </row>
    <row r="51" spans="1:5" s="49" customFormat="1" ht="25.15" customHeight="1">
      <c r="A51" s="61">
        <v>0.58333333333333304</v>
      </c>
      <c r="B51" s="163"/>
      <c r="C51" s="164"/>
      <c r="D51" s="164"/>
      <c r="E51" s="65"/>
    </row>
    <row r="52" spans="1:5" s="49" customFormat="1" ht="25.15" customHeight="1">
      <c r="A52" s="61">
        <v>0.60416666666666696</v>
      </c>
      <c r="B52" s="163"/>
      <c r="C52" s="164"/>
      <c r="D52" s="164"/>
      <c r="E52" s="65"/>
    </row>
    <row r="53" spans="1:5" s="49" customFormat="1" ht="25.15" customHeight="1">
      <c r="A53" s="61">
        <v>0.625</v>
      </c>
      <c r="B53" s="163"/>
      <c r="C53" s="164"/>
      <c r="D53" s="164"/>
      <c r="E53" s="65"/>
    </row>
    <row r="54" spans="1:5" s="49" customFormat="1" ht="25.15" customHeight="1">
      <c r="A54" s="61">
        <v>0.64583333333333404</v>
      </c>
      <c r="B54" s="163"/>
      <c r="C54" s="164"/>
      <c r="D54" s="164"/>
      <c r="E54" s="65"/>
    </row>
    <row r="55" spans="1:5" s="49" customFormat="1" ht="25.15" customHeight="1">
      <c r="A55" s="61">
        <v>0.66666666666666696</v>
      </c>
      <c r="B55" s="163"/>
      <c r="C55" s="164"/>
      <c r="D55" s="164"/>
      <c r="E55" s="65"/>
    </row>
    <row r="56" spans="1:5" s="49" customFormat="1" ht="25.15" customHeight="1">
      <c r="A56" s="61">
        <v>0.6875</v>
      </c>
      <c r="B56" s="163"/>
      <c r="C56" s="164"/>
      <c r="D56" s="164"/>
      <c r="E56" s="65"/>
    </row>
    <row r="57" spans="1:5" s="49" customFormat="1" ht="25.15" customHeight="1" thickBot="1">
      <c r="A57" s="66">
        <v>0.70833333333333404</v>
      </c>
      <c r="B57" s="165"/>
      <c r="C57" s="166"/>
      <c r="D57" s="166"/>
      <c r="E57" s="70"/>
    </row>
    <row r="69" spans="1:5" ht="20.100000000000001">
      <c r="A69" s="141" t="str">
        <f>IF('Audit information'!$B$3&gt;2,"Audit Timetable - Day 3","DELETE TABLE")</f>
        <v>Audit Timetable - Day 3</v>
      </c>
      <c r="B69" s="141"/>
      <c r="C69" s="141"/>
      <c r="D69" s="141"/>
      <c r="E69" s="141"/>
    </row>
    <row r="70" spans="1:5" s="49" customFormat="1" ht="20.45" thickBot="1">
      <c r="A70" s="110"/>
      <c r="B70" s="111"/>
      <c r="C70" s="111"/>
      <c r="D70" s="77" t="s">
        <v>168</v>
      </c>
      <c r="E70" s="47" t="e">
        <f>IF('Audit information'!$B$3&gt;2,'Audit information'!$B$4+2,"DELETE TABLE")</f>
        <v>#VALUE!</v>
      </c>
    </row>
    <row r="71" spans="1:5" s="49" customFormat="1" ht="24.6" customHeight="1">
      <c r="A71" s="100"/>
      <c r="B71" s="50" t="s">
        <v>173</v>
      </c>
      <c r="C71" s="167" t="str">
        <f>'Audit information'!$B$8</f>
        <v>&lt;&lt;Lead auditor&gt;&gt;</v>
      </c>
      <c r="D71" s="167"/>
      <c r="E71" s="168"/>
    </row>
    <row r="72" spans="1:5" s="49" customFormat="1" ht="24.6" customHeight="1" thickBot="1">
      <c r="A72" s="100"/>
      <c r="B72" s="169" t="s">
        <v>171</v>
      </c>
      <c r="C72" s="170"/>
      <c r="D72" s="170"/>
      <c r="E72" s="55" t="s">
        <v>172</v>
      </c>
    </row>
    <row r="73" spans="1:5" s="49" customFormat="1" ht="24.6" customHeight="1">
      <c r="A73" s="56">
        <v>0.33333333333333331</v>
      </c>
      <c r="B73" s="171"/>
      <c r="C73" s="172"/>
      <c r="D73" s="172"/>
      <c r="E73" s="60"/>
    </row>
    <row r="74" spans="1:5" s="49" customFormat="1" ht="24.6" customHeight="1">
      <c r="A74" s="61">
        <v>0.35416666666666669</v>
      </c>
      <c r="B74" s="163"/>
      <c r="C74" s="164"/>
      <c r="D74" s="164"/>
      <c r="E74" s="65"/>
    </row>
    <row r="75" spans="1:5" s="49" customFormat="1" ht="24.6" customHeight="1">
      <c r="A75" s="61">
        <v>0.375</v>
      </c>
      <c r="B75" s="163"/>
      <c r="C75" s="164"/>
      <c r="D75" s="164"/>
      <c r="E75" s="65"/>
    </row>
    <row r="76" spans="1:5" s="49" customFormat="1" ht="24.6" customHeight="1">
      <c r="A76" s="61">
        <v>0.39583333333333331</v>
      </c>
      <c r="B76" s="163"/>
      <c r="C76" s="164"/>
      <c r="D76" s="164"/>
      <c r="E76" s="65"/>
    </row>
    <row r="77" spans="1:5" s="49" customFormat="1" ht="24.6" customHeight="1">
      <c r="A77" s="61">
        <v>0.41666666666666702</v>
      </c>
      <c r="B77" s="163"/>
      <c r="C77" s="164"/>
      <c r="D77" s="164"/>
      <c r="E77" s="65"/>
    </row>
    <row r="78" spans="1:5" s="49" customFormat="1" ht="24.6" customHeight="1">
      <c r="A78" s="61">
        <v>0.4375</v>
      </c>
      <c r="B78" s="163"/>
      <c r="C78" s="164"/>
      <c r="D78" s="164"/>
      <c r="E78" s="65"/>
    </row>
    <row r="79" spans="1:5" s="49" customFormat="1" ht="24.6" customHeight="1">
      <c r="A79" s="61">
        <v>0.45833333333333298</v>
      </c>
      <c r="B79" s="163"/>
      <c r="C79" s="164"/>
      <c r="D79" s="164"/>
      <c r="E79" s="65"/>
    </row>
    <row r="80" spans="1:5" s="49" customFormat="1" ht="24.6" customHeight="1">
      <c r="A80" s="61">
        <v>0.47916666666666702</v>
      </c>
      <c r="B80" s="163"/>
      <c r="C80" s="164"/>
      <c r="D80" s="164"/>
      <c r="E80" s="65"/>
    </row>
    <row r="81" spans="1:5" s="49" customFormat="1" ht="24.6" customHeight="1">
      <c r="A81" s="61">
        <v>0.5</v>
      </c>
      <c r="B81" s="163"/>
      <c r="C81" s="164"/>
      <c r="D81" s="164"/>
      <c r="E81" s="65"/>
    </row>
    <row r="82" spans="1:5" s="49" customFormat="1" ht="24.6" customHeight="1">
      <c r="A82" s="61">
        <v>0.52083333333333304</v>
      </c>
      <c r="B82" s="163"/>
      <c r="C82" s="164"/>
      <c r="D82" s="164"/>
      <c r="E82" s="65"/>
    </row>
    <row r="83" spans="1:5" s="49" customFormat="1" ht="24.6" customHeight="1">
      <c r="A83" s="61">
        <v>0.54166666666666696</v>
      </c>
      <c r="B83" s="163"/>
      <c r="C83" s="164"/>
      <c r="D83" s="164"/>
      <c r="E83" s="65"/>
    </row>
    <row r="84" spans="1:5" s="49" customFormat="1" ht="24.6" customHeight="1">
      <c r="A84" s="61">
        <v>0.5625</v>
      </c>
      <c r="B84" s="163"/>
      <c r="C84" s="164"/>
      <c r="D84" s="164"/>
      <c r="E84" s="65"/>
    </row>
    <row r="85" spans="1:5" s="49" customFormat="1" ht="24.6" customHeight="1">
      <c r="A85" s="61">
        <v>0.58333333333333304</v>
      </c>
      <c r="B85" s="163"/>
      <c r="C85" s="164"/>
      <c r="D85" s="164"/>
      <c r="E85" s="65"/>
    </row>
    <row r="86" spans="1:5" s="49" customFormat="1" ht="24.6" customHeight="1">
      <c r="A86" s="61">
        <v>0.60416666666666696</v>
      </c>
      <c r="B86" s="163"/>
      <c r="C86" s="164"/>
      <c r="D86" s="164"/>
      <c r="E86" s="65"/>
    </row>
    <row r="87" spans="1:5" s="49" customFormat="1" ht="24.6" customHeight="1">
      <c r="A87" s="61">
        <v>0.625</v>
      </c>
      <c r="B87" s="163"/>
      <c r="C87" s="164"/>
      <c r="D87" s="164"/>
      <c r="E87" s="65"/>
    </row>
    <row r="88" spans="1:5" s="49" customFormat="1" ht="24.6" customHeight="1">
      <c r="A88" s="61">
        <v>0.64583333333333404</v>
      </c>
      <c r="B88" s="163"/>
      <c r="C88" s="164"/>
      <c r="D88" s="164"/>
      <c r="E88" s="65"/>
    </row>
    <row r="89" spans="1:5" s="49" customFormat="1" ht="24.6" customHeight="1">
      <c r="A89" s="61">
        <v>0.66666666666666696</v>
      </c>
      <c r="B89" s="163"/>
      <c r="C89" s="164"/>
      <c r="D89" s="164"/>
      <c r="E89" s="65"/>
    </row>
    <row r="90" spans="1:5" s="49" customFormat="1" ht="24.6" customHeight="1">
      <c r="A90" s="61">
        <v>0.6875</v>
      </c>
      <c r="B90" s="163"/>
      <c r="C90" s="164"/>
      <c r="D90" s="164"/>
      <c r="E90" s="65"/>
    </row>
    <row r="91" spans="1:5" s="49" customFormat="1" ht="24.6" customHeight="1" thickBot="1">
      <c r="A91" s="66">
        <v>0.70833333333333404</v>
      </c>
      <c r="B91" s="165"/>
      <c r="C91" s="166"/>
      <c r="D91" s="166"/>
      <c r="E91" s="70"/>
    </row>
    <row r="104" spans="1:5" ht="20.100000000000001">
      <c r="A104" s="141" t="str">
        <f>IF('Audit information'!$B$3&gt;3,"Audit Timetable - Day 4","DELETE TABLE")</f>
        <v>Audit Timetable - Day 4</v>
      </c>
      <c r="B104" s="141"/>
      <c r="C104" s="141"/>
      <c r="D104" s="141"/>
      <c r="E104" s="141"/>
    </row>
    <row r="105" spans="1:5" s="49" customFormat="1" ht="20.45" thickBot="1">
      <c r="A105" s="110"/>
      <c r="B105" s="111"/>
      <c r="C105" s="111"/>
      <c r="D105" s="77" t="s">
        <v>168</v>
      </c>
      <c r="E105" s="47" t="e">
        <f>IF('Audit information'!$B$3&gt;3,'Audit information'!$B$4+3,"DELETE TABLE")</f>
        <v>#VALUE!</v>
      </c>
    </row>
    <row r="106" spans="1:5" s="49" customFormat="1" ht="24.6" customHeight="1">
      <c r="A106" s="100"/>
      <c r="B106" s="50" t="s">
        <v>173</v>
      </c>
      <c r="C106" s="167" t="str">
        <f>'Audit information'!$B$8</f>
        <v>&lt;&lt;Lead auditor&gt;&gt;</v>
      </c>
      <c r="D106" s="167"/>
      <c r="E106" s="168"/>
    </row>
    <row r="107" spans="1:5" s="49" customFormat="1" ht="24.6" customHeight="1" thickBot="1">
      <c r="A107" s="100"/>
      <c r="B107" s="169" t="s">
        <v>171</v>
      </c>
      <c r="C107" s="170"/>
      <c r="D107" s="170"/>
      <c r="E107" s="55" t="s">
        <v>172</v>
      </c>
    </row>
    <row r="108" spans="1:5" s="49" customFormat="1" ht="24.6" customHeight="1">
      <c r="A108" s="56">
        <v>0.33333333333333331</v>
      </c>
      <c r="B108" s="171"/>
      <c r="C108" s="172"/>
      <c r="D108" s="172"/>
      <c r="E108" s="60"/>
    </row>
    <row r="109" spans="1:5" s="49" customFormat="1" ht="24.6" customHeight="1">
      <c r="A109" s="61">
        <v>0.35416666666666669</v>
      </c>
      <c r="B109" s="163"/>
      <c r="C109" s="164"/>
      <c r="D109" s="164"/>
      <c r="E109" s="65"/>
    </row>
    <row r="110" spans="1:5" s="49" customFormat="1" ht="24.6" customHeight="1">
      <c r="A110" s="61">
        <v>0.375</v>
      </c>
      <c r="B110" s="163"/>
      <c r="C110" s="164"/>
      <c r="D110" s="164"/>
      <c r="E110" s="65"/>
    </row>
    <row r="111" spans="1:5" s="49" customFormat="1" ht="24.6" customHeight="1">
      <c r="A111" s="61">
        <v>0.39583333333333331</v>
      </c>
      <c r="B111" s="163"/>
      <c r="C111" s="164"/>
      <c r="D111" s="164"/>
      <c r="E111" s="65"/>
    </row>
    <row r="112" spans="1:5" s="49" customFormat="1" ht="24.6" customHeight="1">
      <c r="A112" s="61">
        <v>0.41666666666666702</v>
      </c>
      <c r="B112" s="163"/>
      <c r="C112" s="164"/>
      <c r="D112" s="164"/>
      <c r="E112" s="65"/>
    </row>
    <row r="113" spans="1:5" s="49" customFormat="1" ht="24.6" customHeight="1">
      <c r="A113" s="61">
        <v>0.4375</v>
      </c>
      <c r="B113" s="163"/>
      <c r="C113" s="164"/>
      <c r="D113" s="164"/>
      <c r="E113" s="65"/>
    </row>
    <row r="114" spans="1:5" s="49" customFormat="1" ht="24.6" customHeight="1">
      <c r="A114" s="61">
        <v>0.45833333333333298</v>
      </c>
      <c r="B114" s="163"/>
      <c r="C114" s="164"/>
      <c r="D114" s="164"/>
      <c r="E114" s="65"/>
    </row>
    <row r="115" spans="1:5" s="49" customFormat="1" ht="24.6" customHeight="1">
      <c r="A115" s="61">
        <v>0.47916666666666702</v>
      </c>
      <c r="B115" s="163"/>
      <c r="C115" s="164"/>
      <c r="D115" s="164"/>
      <c r="E115" s="65"/>
    </row>
    <row r="116" spans="1:5" s="49" customFormat="1" ht="24.6" customHeight="1">
      <c r="A116" s="61">
        <v>0.5</v>
      </c>
      <c r="B116" s="163"/>
      <c r="C116" s="164"/>
      <c r="D116" s="164"/>
      <c r="E116" s="65"/>
    </row>
    <row r="117" spans="1:5" s="49" customFormat="1" ht="24.6" customHeight="1">
      <c r="A117" s="61">
        <v>0.52083333333333304</v>
      </c>
      <c r="B117" s="163"/>
      <c r="C117" s="164"/>
      <c r="D117" s="164"/>
      <c r="E117" s="65"/>
    </row>
    <row r="118" spans="1:5" s="49" customFormat="1" ht="24.6" customHeight="1">
      <c r="A118" s="61">
        <v>0.54166666666666696</v>
      </c>
      <c r="B118" s="163"/>
      <c r="C118" s="164"/>
      <c r="D118" s="164"/>
      <c r="E118" s="65"/>
    </row>
    <row r="119" spans="1:5" s="49" customFormat="1" ht="24.6" customHeight="1">
      <c r="A119" s="61">
        <v>0.5625</v>
      </c>
      <c r="B119" s="163"/>
      <c r="C119" s="164"/>
      <c r="D119" s="164"/>
      <c r="E119" s="65"/>
    </row>
    <row r="120" spans="1:5" s="49" customFormat="1" ht="24.6" customHeight="1">
      <c r="A120" s="61">
        <v>0.58333333333333304</v>
      </c>
      <c r="B120" s="163"/>
      <c r="C120" s="164"/>
      <c r="D120" s="164"/>
      <c r="E120" s="65"/>
    </row>
    <row r="121" spans="1:5" s="49" customFormat="1" ht="24.6" customHeight="1">
      <c r="A121" s="61">
        <v>0.60416666666666696</v>
      </c>
      <c r="B121" s="163"/>
      <c r="C121" s="164"/>
      <c r="D121" s="164"/>
      <c r="E121" s="65"/>
    </row>
    <row r="122" spans="1:5" s="49" customFormat="1" ht="24.6" customHeight="1">
      <c r="A122" s="61">
        <v>0.625</v>
      </c>
      <c r="B122" s="163"/>
      <c r="C122" s="164"/>
      <c r="D122" s="164"/>
      <c r="E122" s="65"/>
    </row>
    <row r="123" spans="1:5" s="49" customFormat="1" ht="24.6" customHeight="1">
      <c r="A123" s="61">
        <v>0.64583333333333404</v>
      </c>
      <c r="B123" s="163"/>
      <c r="C123" s="164"/>
      <c r="D123" s="164"/>
      <c r="E123" s="65"/>
    </row>
    <row r="124" spans="1:5" s="49" customFormat="1" ht="24.6" customHeight="1">
      <c r="A124" s="61">
        <v>0.66666666666666696</v>
      </c>
      <c r="B124" s="163"/>
      <c r="C124" s="164"/>
      <c r="D124" s="164"/>
      <c r="E124" s="65"/>
    </row>
    <row r="125" spans="1:5" s="49" customFormat="1" ht="24.6" customHeight="1">
      <c r="A125" s="61">
        <v>0.6875</v>
      </c>
      <c r="B125" s="163"/>
      <c r="C125" s="164"/>
      <c r="D125" s="164"/>
      <c r="E125" s="65"/>
    </row>
    <row r="126" spans="1:5" s="49" customFormat="1" ht="24.6" customHeight="1" thickBot="1">
      <c r="A126" s="66">
        <v>0.70833333333333404</v>
      </c>
      <c r="B126" s="165"/>
      <c r="C126" s="166"/>
      <c r="D126" s="166"/>
      <c r="E126" s="70"/>
    </row>
    <row r="139" spans="1:5" ht="20.100000000000001">
      <c r="A139" s="141" t="str">
        <f>IF('Audit information'!$B$3&gt;4,"Audit Timetable - Day 5","DELETE TABLE")</f>
        <v>Audit Timetable - Day 5</v>
      </c>
      <c r="B139" s="141"/>
      <c r="C139" s="141"/>
      <c r="D139" s="141"/>
      <c r="E139" s="141"/>
    </row>
    <row r="140" spans="1:5" s="49" customFormat="1" ht="20.45" thickBot="1">
      <c r="A140" s="110"/>
      <c r="B140" s="111"/>
      <c r="C140" s="111"/>
      <c r="D140" s="77" t="s">
        <v>168</v>
      </c>
      <c r="E140" s="47" t="e">
        <f>IF('Audit information'!$B$3&gt;4,'Audit information'!$B$4+4,"DELETE TABLE")</f>
        <v>#VALUE!</v>
      </c>
    </row>
    <row r="141" spans="1:5" s="49" customFormat="1" ht="24.6" customHeight="1">
      <c r="A141" s="100"/>
      <c r="B141" s="50" t="s">
        <v>173</v>
      </c>
      <c r="C141" s="167" t="str">
        <f>'Audit information'!$B$8</f>
        <v>&lt;&lt;Lead auditor&gt;&gt;</v>
      </c>
      <c r="D141" s="167"/>
      <c r="E141" s="168"/>
    </row>
    <row r="142" spans="1:5" s="49" customFormat="1" ht="24.6" customHeight="1" thickBot="1">
      <c r="A142" s="100"/>
      <c r="B142" s="169" t="s">
        <v>171</v>
      </c>
      <c r="C142" s="170"/>
      <c r="D142" s="170"/>
      <c r="E142" s="55" t="s">
        <v>172</v>
      </c>
    </row>
    <row r="143" spans="1:5" s="49" customFormat="1" ht="24.6" customHeight="1">
      <c r="A143" s="56">
        <v>0.33333333333333331</v>
      </c>
      <c r="B143" s="171"/>
      <c r="C143" s="172"/>
      <c r="D143" s="172"/>
      <c r="E143" s="60"/>
    </row>
    <row r="144" spans="1:5" s="49" customFormat="1" ht="24.6" customHeight="1">
      <c r="A144" s="61">
        <v>0.35416666666666669</v>
      </c>
      <c r="B144" s="163"/>
      <c r="C144" s="164"/>
      <c r="D144" s="164"/>
      <c r="E144" s="65"/>
    </row>
    <row r="145" spans="1:5" s="49" customFormat="1" ht="24.6" customHeight="1">
      <c r="A145" s="61">
        <v>0.375</v>
      </c>
      <c r="B145" s="163"/>
      <c r="C145" s="164"/>
      <c r="D145" s="164"/>
      <c r="E145" s="65"/>
    </row>
    <row r="146" spans="1:5" s="49" customFormat="1" ht="24.6" customHeight="1">
      <c r="A146" s="61">
        <v>0.39583333333333331</v>
      </c>
      <c r="B146" s="163"/>
      <c r="C146" s="164"/>
      <c r="D146" s="164"/>
      <c r="E146" s="65"/>
    </row>
    <row r="147" spans="1:5" s="49" customFormat="1" ht="24.6" customHeight="1">
      <c r="A147" s="61">
        <v>0.41666666666666702</v>
      </c>
      <c r="B147" s="163"/>
      <c r="C147" s="164"/>
      <c r="D147" s="164"/>
      <c r="E147" s="65"/>
    </row>
    <row r="148" spans="1:5" s="49" customFormat="1" ht="24.6" customHeight="1">
      <c r="A148" s="61">
        <v>0.4375</v>
      </c>
      <c r="B148" s="163"/>
      <c r="C148" s="164"/>
      <c r="D148" s="164"/>
      <c r="E148" s="65"/>
    </row>
    <row r="149" spans="1:5" s="49" customFormat="1" ht="24.6" customHeight="1">
      <c r="A149" s="61">
        <v>0.45833333333333298</v>
      </c>
      <c r="B149" s="163"/>
      <c r="C149" s="164"/>
      <c r="D149" s="164"/>
      <c r="E149" s="65"/>
    </row>
    <row r="150" spans="1:5" s="49" customFormat="1" ht="24.6" customHeight="1">
      <c r="A150" s="61">
        <v>0.47916666666666702</v>
      </c>
      <c r="B150" s="163"/>
      <c r="C150" s="164"/>
      <c r="D150" s="164"/>
      <c r="E150" s="65"/>
    </row>
    <row r="151" spans="1:5" s="49" customFormat="1" ht="24.6" customHeight="1">
      <c r="A151" s="61">
        <v>0.5</v>
      </c>
      <c r="B151" s="163"/>
      <c r="C151" s="164"/>
      <c r="D151" s="164"/>
      <c r="E151" s="65"/>
    </row>
    <row r="152" spans="1:5" s="49" customFormat="1" ht="24.6" customHeight="1">
      <c r="A152" s="61">
        <v>0.52083333333333304</v>
      </c>
      <c r="B152" s="163"/>
      <c r="C152" s="164"/>
      <c r="D152" s="164"/>
      <c r="E152" s="65"/>
    </row>
    <row r="153" spans="1:5" s="49" customFormat="1" ht="24.6" customHeight="1">
      <c r="A153" s="61">
        <v>0.54166666666666696</v>
      </c>
      <c r="B153" s="163"/>
      <c r="C153" s="164"/>
      <c r="D153" s="164"/>
      <c r="E153" s="65"/>
    </row>
    <row r="154" spans="1:5" s="49" customFormat="1" ht="24.6" customHeight="1">
      <c r="A154" s="61">
        <v>0.5625</v>
      </c>
      <c r="B154" s="163"/>
      <c r="C154" s="164"/>
      <c r="D154" s="164"/>
      <c r="E154" s="65"/>
    </row>
    <row r="155" spans="1:5" s="49" customFormat="1" ht="24.6" customHeight="1">
      <c r="A155" s="61">
        <v>0.58333333333333304</v>
      </c>
      <c r="B155" s="163"/>
      <c r="C155" s="164"/>
      <c r="D155" s="164"/>
      <c r="E155" s="65"/>
    </row>
    <row r="156" spans="1:5" s="49" customFormat="1" ht="24.6" customHeight="1">
      <c r="A156" s="61">
        <v>0.60416666666666696</v>
      </c>
      <c r="B156" s="163"/>
      <c r="C156" s="164"/>
      <c r="D156" s="164"/>
      <c r="E156" s="65"/>
    </row>
    <row r="157" spans="1:5" s="49" customFormat="1" ht="24.6" customHeight="1">
      <c r="A157" s="61">
        <v>0.625</v>
      </c>
      <c r="B157" s="163"/>
      <c r="C157" s="164"/>
      <c r="D157" s="164"/>
      <c r="E157" s="65"/>
    </row>
    <row r="158" spans="1:5" s="49" customFormat="1" ht="24.6" customHeight="1">
      <c r="A158" s="61">
        <v>0.64583333333333404</v>
      </c>
      <c r="B158" s="163"/>
      <c r="C158" s="164"/>
      <c r="D158" s="164"/>
      <c r="E158" s="65"/>
    </row>
    <row r="159" spans="1:5" s="49" customFormat="1" ht="24.6" customHeight="1">
      <c r="A159" s="61">
        <v>0.66666666666666696</v>
      </c>
      <c r="B159" s="163"/>
      <c r="C159" s="164"/>
      <c r="D159" s="164"/>
      <c r="E159" s="65"/>
    </row>
    <row r="160" spans="1:5" s="49" customFormat="1" ht="24.6" customHeight="1">
      <c r="A160" s="61">
        <v>0.6875</v>
      </c>
      <c r="B160" s="163"/>
      <c r="C160" s="164"/>
      <c r="D160" s="164"/>
      <c r="E160" s="65"/>
    </row>
    <row r="161" spans="1:5" s="49" customFormat="1" ht="24.6" customHeight="1" thickBot="1">
      <c r="A161" s="66">
        <v>0.70833333333333404</v>
      </c>
      <c r="B161" s="165"/>
      <c r="C161" s="166"/>
      <c r="D161" s="166"/>
      <c r="E161" s="70"/>
    </row>
    <row r="174" spans="1:5" ht="20.100000000000001">
      <c r="A174" s="141" t="str">
        <f>IF('Audit information'!$B$3&gt;5,"Audit Timetable - Day 6","DELETE TABLE")</f>
        <v>Audit Timetable - Day 6</v>
      </c>
      <c r="B174" s="141"/>
      <c r="C174" s="141"/>
      <c r="D174" s="141"/>
      <c r="E174" s="141"/>
    </row>
    <row r="175" spans="1:5" ht="20.45" thickBot="1">
      <c r="A175" s="110"/>
      <c r="B175" s="111"/>
      <c r="C175" s="111"/>
      <c r="D175" s="77" t="s">
        <v>168</v>
      </c>
      <c r="E175" s="47" t="e">
        <f>IF('Audit information'!$B$3&gt;5,'Audit information'!$B$4+5,"DELETE TABLE")</f>
        <v>#VALUE!</v>
      </c>
    </row>
    <row r="176" spans="1:5" ht="24" customHeight="1">
      <c r="A176" s="100"/>
      <c r="B176" s="50" t="s">
        <v>173</v>
      </c>
      <c r="C176" s="167" t="str">
        <f>'Audit information'!$B$8</f>
        <v>&lt;&lt;Lead auditor&gt;&gt;</v>
      </c>
      <c r="D176" s="167"/>
      <c r="E176" s="168"/>
    </row>
    <row r="177" spans="1:5" ht="24" customHeight="1" thickBot="1">
      <c r="A177" s="100"/>
      <c r="B177" s="169" t="s">
        <v>171</v>
      </c>
      <c r="C177" s="170"/>
      <c r="D177" s="170"/>
      <c r="E177" s="55" t="s">
        <v>172</v>
      </c>
    </row>
    <row r="178" spans="1:5" ht="24" customHeight="1">
      <c r="A178" s="56">
        <v>0.33333333333333331</v>
      </c>
      <c r="B178" s="171"/>
      <c r="C178" s="172"/>
      <c r="D178" s="172"/>
      <c r="E178" s="60"/>
    </row>
    <row r="179" spans="1:5" ht="24" customHeight="1">
      <c r="A179" s="61">
        <v>0.35416666666666669</v>
      </c>
      <c r="B179" s="163"/>
      <c r="C179" s="164"/>
      <c r="D179" s="164"/>
      <c r="E179" s="65"/>
    </row>
    <row r="180" spans="1:5" ht="24" customHeight="1">
      <c r="A180" s="61">
        <v>0.375</v>
      </c>
      <c r="B180" s="163"/>
      <c r="C180" s="164"/>
      <c r="D180" s="164"/>
      <c r="E180" s="65"/>
    </row>
    <row r="181" spans="1:5" ht="24" customHeight="1">
      <c r="A181" s="61">
        <v>0.39583333333333331</v>
      </c>
      <c r="B181" s="163"/>
      <c r="C181" s="164"/>
      <c r="D181" s="164"/>
      <c r="E181" s="65"/>
    </row>
    <row r="182" spans="1:5" ht="24" customHeight="1">
      <c r="A182" s="61">
        <v>0.41666666666666702</v>
      </c>
      <c r="B182" s="163"/>
      <c r="C182" s="164"/>
      <c r="D182" s="164"/>
      <c r="E182" s="65"/>
    </row>
    <row r="183" spans="1:5" ht="24" customHeight="1">
      <c r="A183" s="61">
        <v>0.4375</v>
      </c>
      <c r="B183" s="163"/>
      <c r="C183" s="164"/>
      <c r="D183" s="164"/>
      <c r="E183" s="65"/>
    </row>
    <row r="184" spans="1:5" ht="24" customHeight="1">
      <c r="A184" s="61">
        <v>0.45833333333333298</v>
      </c>
      <c r="B184" s="163"/>
      <c r="C184" s="164"/>
      <c r="D184" s="164"/>
      <c r="E184" s="65"/>
    </row>
    <row r="185" spans="1:5" ht="24" customHeight="1">
      <c r="A185" s="61">
        <v>0.47916666666666702</v>
      </c>
      <c r="B185" s="163"/>
      <c r="C185" s="164"/>
      <c r="D185" s="164"/>
      <c r="E185" s="65"/>
    </row>
    <row r="186" spans="1:5" ht="24" customHeight="1">
      <c r="A186" s="61">
        <v>0.5</v>
      </c>
      <c r="B186" s="163"/>
      <c r="C186" s="164"/>
      <c r="D186" s="164"/>
      <c r="E186" s="65"/>
    </row>
    <row r="187" spans="1:5" ht="24" customHeight="1">
      <c r="A187" s="61">
        <v>0.52083333333333304</v>
      </c>
      <c r="B187" s="163"/>
      <c r="C187" s="164"/>
      <c r="D187" s="164"/>
      <c r="E187" s="65"/>
    </row>
    <row r="188" spans="1:5" ht="24" customHeight="1">
      <c r="A188" s="61">
        <v>0.54166666666666696</v>
      </c>
      <c r="B188" s="163"/>
      <c r="C188" s="164"/>
      <c r="D188" s="164"/>
      <c r="E188" s="65"/>
    </row>
    <row r="189" spans="1:5" ht="24" customHeight="1">
      <c r="A189" s="61">
        <v>0.5625</v>
      </c>
      <c r="B189" s="163"/>
      <c r="C189" s="164"/>
      <c r="D189" s="164"/>
      <c r="E189" s="65"/>
    </row>
    <row r="190" spans="1:5" ht="24" customHeight="1">
      <c r="A190" s="61">
        <v>0.58333333333333304</v>
      </c>
      <c r="B190" s="163"/>
      <c r="C190" s="164"/>
      <c r="D190" s="164"/>
      <c r="E190" s="65"/>
    </row>
    <row r="191" spans="1:5" ht="24" customHeight="1">
      <c r="A191" s="61">
        <v>0.60416666666666696</v>
      </c>
      <c r="B191" s="163"/>
      <c r="C191" s="164"/>
      <c r="D191" s="164"/>
      <c r="E191" s="65"/>
    </row>
    <row r="192" spans="1:5" ht="24" customHeight="1">
      <c r="A192" s="61">
        <v>0.625</v>
      </c>
      <c r="B192" s="163"/>
      <c r="C192" s="164"/>
      <c r="D192" s="164"/>
      <c r="E192" s="65"/>
    </row>
    <row r="193" spans="1:5" ht="24" customHeight="1">
      <c r="A193" s="61">
        <v>0.64583333333333404</v>
      </c>
      <c r="B193" s="163"/>
      <c r="C193" s="164"/>
      <c r="D193" s="164"/>
      <c r="E193" s="65"/>
    </row>
    <row r="194" spans="1:5" ht="24" customHeight="1">
      <c r="A194" s="61">
        <v>0.66666666666666696</v>
      </c>
      <c r="B194" s="163"/>
      <c r="C194" s="164"/>
      <c r="D194" s="164"/>
      <c r="E194" s="65"/>
    </row>
    <row r="195" spans="1:5" ht="24" customHeight="1">
      <c r="A195" s="61">
        <v>0.6875</v>
      </c>
      <c r="B195" s="163"/>
      <c r="C195" s="164"/>
      <c r="D195" s="164"/>
      <c r="E195" s="65"/>
    </row>
    <row r="196" spans="1:5" ht="24" customHeight="1" thickBot="1">
      <c r="A196" s="66">
        <v>0.70833333333333404</v>
      </c>
      <c r="B196" s="165"/>
      <c r="C196" s="166"/>
      <c r="D196" s="166"/>
      <c r="E196" s="70"/>
    </row>
    <row r="210" spans="1:5" ht="20.100000000000001">
      <c r="A210" s="141" t="str">
        <f>IF('Audit information'!$B$3&gt;6,"Audit Timetable - Day 7","DELETE TABLE")</f>
        <v>Audit Timetable - Day 7</v>
      </c>
      <c r="B210" s="141"/>
      <c r="C210" s="141"/>
      <c r="D210" s="141"/>
      <c r="E210" s="141"/>
    </row>
    <row r="211" spans="1:5" ht="20.45" thickBot="1">
      <c r="A211" s="110"/>
      <c r="B211" s="111"/>
      <c r="C211" s="111"/>
      <c r="D211" s="77" t="s">
        <v>168</v>
      </c>
      <c r="E211" s="47" t="e">
        <f>IF('Audit information'!$B$3&gt;6,'Audit information'!$B$4+6,"DELETE TABLE")</f>
        <v>#VALUE!</v>
      </c>
    </row>
    <row r="212" spans="1:5" ht="24.6" customHeight="1">
      <c r="A212" s="100"/>
      <c r="B212" s="50" t="s">
        <v>173</v>
      </c>
      <c r="C212" s="167" t="str">
        <f>'Audit information'!$B$8</f>
        <v>&lt;&lt;Lead auditor&gt;&gt;</v>
      </c>
      <c r="D212" s="167"/>
      <c r="E212" s="168"/>
    </row>
    <row r="213" spans="1:5" ht="24.6" customHeight="1" thickBot="1">
      <c r="A213" s="100"/>
      <c r="B213" s="169" t="s">
        <v>171</v>
      </c>
      <c r="C213" s="170"/>
      <c r="D213" s="170"/>
      <c r="E213" s="55" t="s">
        <v>172</v>
      </c>
    </row>
    <row r="214" spans="1:5" ht="24.6" customHeight="1">
      <c r="A214" s="56">
        <v>0.33333333333333331</v>
      </c>
      <c r="B214" s="171"/>
      <c r="C214" s="172"/>
      <c r="D214" s="172"/>
      <c r="E214" s="60"/>
    </row>
    <row r="215" spans="1:5" ht="24.6" customHeight="1">
      <c r="A215" s="61">
        <v>0.35416666666666669</v>
      </c>
      <c r="B215" s="163"/>
      <c r="C215" s="164"/>
      <c r="D215" s="164"/>
      <c r="E215" s="65"/>
    </row>
    <row r="216" spans="1:5" ht="24.6" customHeight="1">
      <c r="A216" s="61">
        <v>0.375</v>
      </c>
      <c r="B216" s="163"/>
      <c r="C216" s="164"/>
      <c r="D216" s="164"/>
      <c r="E216" s="65"/>
    </row>
    <row r="217" spans="1:5" ht="24.6" customHeight="1">
      <c r="A217" s="61">
        <v>0.39583333333333331</v>
      </c>
      <c r="B217" s="163"/>
      <c r="C217" s="164"/>
      <c r="D217" s="164"/>
      <c r="E217" s="65"/>
    </row>
    <row r="218" spans="1:5" ht="24.6" customHeight="1">
      <c r="A218" s="61">
        <v>0.41666666666666702</v>
      </c>
      <c r="B218" s="163"/>
      <c r="C218" s="164"/>
      <c r="D218" s="164"/>
      <c r="E218" s="65"/>
    </row>
    <row r="219" spans="1:5" ht="24.6" customHeight="1">
      <c r="A219" s="61">
        <v>0.4375</v>
      </c>
      <c r="B219" s="163"/>
      <c r="C219" s="164"/>
      <c r="D219" s="164"/>
      <c r="E219" s="65"/>
    </row>
    <row r="220" spans="1:5" ht="24.6" customHeight="1">
      <c r="A220" s="61">
        <v>0.45833333333333298</v>
      </c>
      <c r="B220" s="163"/>
      <c r="C220" s="164"/>
      <c r="D220" s="164"/>
      <c r="E220" s="65"/>
    </row>
    <row r="221" spans="1:5" ht="24.6" customHeight="1">
      <c r="A221" s="61">
        <v>0.47916666666666702</v>
      </c>
      <c r="B221" s="163"/>
      <c r="C221" s="164"/>
      <c r="D221" s="164"/>
      <c r="E221" s="65"/>
    </row>
    <row r="222" spans="1:5" ht="24.6" customHeight="1">
      <c r="A222" s="61">
        <v>0.5</v>
      </c>
      <c r="B222" s="163"/>
      <c r="C222" s="164"/>
      <c r="D222" s="164"/>
      <c r="E222" s="65"/>
    </row>
    <row r="223" spans="1:5" ht="24.6" customHeight="1">
      <c r="A223" s="61">
        <v>0.52083333333333304</v>
      </c>
      <c r="B223" s="163"/>
      <c r="C223" s="164"/>
      <c r="D223" s="164"/>
      <c r="E223" s="65"/>
    </row>
    <row r="224" spans="1:5" ht="24.6" customHeight="1">
      <c r="A224" s="61">
        <v>0.54166666666666696</v>
      </c>
      <c r="B224" s="163"/>
      <c r="C224" s="164"/>
      <c r="D224" s="164"/>
      <c r="E224" s="65"/>
    </row>
    <row r="225" spans="1:5" ht="24.6" customHeight="1">
      <c r="A225" s="61">
        <v>0.5625</v>
      </c>
      <c r="B225" s="163"/>
      <c r="C225" s="164"/>
      <c r="D225" s="164"/>
      <c r="E225" s="65"/>
    </row>
    <row r="226" spans="1:5" ht="24.6" customHeight="1">
      <c r="A226" s="61">
        <v>0.58333333333333304</v>
      </c>
      <c r="B226" s="163"/>
      <c r="C226" s="164"/>
      <c r="D226" s="164"/>
      <c r="E226" s="65"/>
    </row>
    <row r="227" spans="1:5" ht="24.6" customHeight="1">
      <c r="A227" s="61">
        <v>0.60416666666666696</v>
      </c>
      <c r="B227" s="163"/>
      <c r="C227" s="164"/>
      <c r="D227" s="164"/>
      <c r="E227" s="65"/>
    </row>
    <row r="228" spans="1:5" ht="24.6" customHeight="1">
      <c r="A228" s="61">
        <v>0.625</v>
      </c>
      <c r="B228" s="163"/>
      <c r="C228" s="164"/>
      <c r="D228" s="164"/>
      <c r="E228" s="65"/>
    </row>
    <row r="229" spans="1:5" ht="24.6" customHeight="1">
      <c r="A229" s="61">
        <v>0.64583333333333404</v>
      </c>
      <c r="B229" s="163"/>
      <c r="C229" s="164"/>
      <c r="D229" s="164"/>
      <c r="E229" s="65"/>
    </row>
    <row r="230" spans="1:5" ht="24.6" customHeight="1">
      <c r="A230" s="61">
        <v>0.66666666666666696</v>
      </c>
      <c r="B230" s="163"/>
      <c r="C230" s="164"/>
      <c r="D230" s="164"/>
      <c r="E230" s="65"/>
    </row>
    <row r="231" spans="1:5" ht="24.6" customHeight="1">
      <c r="A231" s="61">
        <v>0.6875</v>
      </c>
      <c r="B231" s="163"/>
      <c r="C231" s="164"/>
      <c r="D231" s="164"/>
      <c r="E231" s="65"/>
    </row>
    <row r="232" spans="1:5" ht="24.6" customHeight="1" thickBot="1">
      <c r="A232" s="66">
        <v>0.70833333333333404</v>
      </c>
      <c r="B232" s="165"/>
      <c r="C232" s="166"/>
      <c r="D232" s="166"/>
      <c r="E232" s="70"/>
    </row>
    <row r="245" spans="1:5" ht="20.100000000000001">
      <c r="A245" s="141" t="str">
        <f>IF('Audit information'!$B$3&gt;7,"Audit Timetable - Day 8","DELETE TABLE")</f>
        <v>Audit Timetable - Day 8</v>
      </c>
      <c r="B245" s="141"/>
      <c r="C245" s="141"/>
      <c r="D245" s="141"/>
      <c r="E245" s="141"/>
    </row>
    <row r="246" spans="1:5" ht="20.45" thickBot="1">
      <c r="A246" s="110"/>
      <c r="B246" s="111"/>
      <c r="C246" s="111"/>
      <c r="D246" s="77" t="s">
        <v>168</v>
      </c>
      <c r="E246" s="47" t="e">
        <f>IF('Audit information'!$B$3&gt;7,'Audit information'!$B$4+7,"DELETE TABLE")</f>
        <v>#VALUE!</v>
      </c>
    </row>
    <row r="247" spans="1:5" ht="24.6" customHeight="1">
      <c r="A247" s="100"/>
      <c r="B247" s="50" t="s">
        <v>173</v>
      </c>
      <c r="C247" s="167" t="str">
        <f>'Audit information'!$B$8</f>
        <v>&lt;&lt;Lead auditor&gt;&gt;</v>
      </c>
      <c r="D247" s="167"/>
      <c r="E247" s="168"/>
    </row>
    <row r="248" spans="1:5" ht="24.6" customHeight="1" thickBot="1">
      <c r="A248" s="100"/>
      <c r="B248" s="169" t="s">
        <v>171</v>
      </c>
      <c r="C248" s="170"/>
      <c r="D248" s="170"/>
      <c r="E248" s="55" t="s">
        <v>172</v>
      </c>
    </row>
    <row r="249" spans="1:5" ht="24.6" customHeight="1">
      <c r="A249" s="56">
        <v>0.33333333333333331</v>
      </c>
      <c r="B249" s="171"/>
      <c r="C249" s="172"/>
      <c r="D249" s="172"/>
      <c r="E249" s="60"/>
    </row>
    <row r="250" spans="1:5" ht="24.6" customHeight="1">
      <c r="A250" s="61">
        <v>0.35416666666666669</v>
      </c>
      <c r="B250" s="163"/>
      <c r="C250" s="164"/>
      <c r="D250" s="164"/>
      <c r="E250" s="65"/>
    </row>
    <row r="251" spans="1:5" ht="24.6" customHeight="1">
      <c r="A251" s="61">
        <v>0.375</v>
      </c>
      <c r="B251" s="163"/>
      <c r="C251" s="164"/>
      <c r="D251" s="164"/>
      <c r="E251" s="65"/>
    </row>
    <row r="252" spans="1:5" ht="24.6" customHeight="1">
      <c r="A252" s="61">
        <v>0.39583333333333331</v>
      </c>
      <c r="B252" s="163"/>
      <c r="C252" s="164"/>
      <c r="D252" s="164"/>
      <c r="E252" s="65"/>
    </row>
    <row r="253" spans="1:5" ht="24.6" customHeight="1">
      <c r="A253" s="61">
        <v>0.41666666666666702</v>
      </c>
      <c r="B253" s="163"/>
      <c r="C253" s="164"/>
      <c r="D253" s="164"/>
      <c r="E253" s="65"/>
    </row>
    <row r="254" spans="1:5" ht="24.6" customHeight="1">
      <c r="A254" s="61">
        <v>0.4375</v>
      </c>
      <c r="B254" s="163"/>
      <c r="C254" s="164"/>
      <c r="D254" s="164"/>
      <c r="E254" s="65"/>
    </row>
    <row r="255" spans="1:5" ht="24.6" customHeight="1">
      <c r="A255" s="61">
        <v>0.45833333333333298</v>
      </c>
      <c r="B255" s="163"/>
      <c r="C255" s="164"/>
      <c r="D255" s="164"/>
      <c r="E255" s="65"/>
    </row>
    <row r="256" spans="1:5" ht="24.6" customHeight="1">
      <c r="A256" s="61">
        <v>0.47916666666666702</v>
      </c>
      <c r="B256" s="163"/>
      <c r="C256" s="164"/>
      <c r="D256" s="164"/>
      <c r="E256" s="65"/>
    </row>
    <row r="257" spans="1:5" ht="24.6" customHeight="1">
      <c r="A257" s="61">
        <v>0.5</v>
      </c>
      <c r="B257" s="163"/>
      <c r="C257" s="164"/>
      <c r="D257" s="164"/>
      <c r="E257" s="65"/>
    </row>
    <row r="258" spans="1:5" ht="24.6" customHeight="1">
      <c r="A258" s="61">
        <v>0.52083333333333304</v>
      </c>
      <c r="B258" s="163"/>
      <c r="C258" s="164"/>
      <c r="D258" s="164"/>
      <c r="E258" s="65"/>
    </row>
    <row r="259" spans="1:5" ht="24.6" customHeight="1">
      <c r="A259" s="61">
        <v>0.54166666666666696</v>
      </c>
      <c r="B259" s="163"/>
      <c r="C259" s="164"/>
      <c r="D259" s="164"/>
      <c r="E259" s="65"/>
    </row>
    <row r="260" spans="1:5" ht="24.6" customHeight="1">
      <c r="A260" s="61">
        <v>0.5625</v>
      </c>
      <c r="B260" s="163"/>
      <c r="C260" s="164"/>
      <c r="D260" s="164"/>
      <c r="E260" s="65"/>
    </row>
    <row r="261" spans="1:5" ht="24.6" customHeight="1">
      <c r="A261" s="61">
        <v>0.58333333333333304</v>
      </c>
      <c r="B261" s="163"/>
      <c r="C261" s="164"/>
      <c r="D261" s="164"/>
      <c r="E261" s="65"/>
    </row>
    <row r="262" spans="1:5" ht="24.6" customHeight="1">
      <c r="A262" s="61">
        <v>0.60416666666666696</v>
      </c>
      <c r="B262" s="163"/>
      <c r="C262" s="164"/>
      <c r="D262" s="164"/>
      <c r="E262" s="65"/>
    </row>
    <row r="263" spans="1:5" ht="24.6" customHeight="1">
      <c r="A263" s="61">
        <v>0.625</v>
      </c>
      <c r="B263" s="163"/>
      <c r="C263" s="164"/>
      <c r="D263" s="164"/>
      <c r="E263" s="65"/>
    </row>
    <row r="264" spans="1:5" ht="24.6" customHeight="1">
      <c r="A264" s="61">
        <v>0.64583333333333404</v>
      </c>
      <c r="B264" s="163"/>
      <c r="C264" s="164"/>
      <c r="D264" s="164"/>
      <c r="E264" s="65"/>
    </row>
    <row r="265" spans="1:5" ht="24.6" customHeight="1">
      <c r="A265" s="61">
        <v>0.66666666666666696</v>
      </c>
      <c r="B265" s="163"/>
      <c r="C265" s="164"/>
      <c r="D265" s="164"/>
      <c r="E265" s="65"/>
    </row>
    <row r="266" spans="1:5" ht="24.6" customHeight="1">
      <c r="A266" s="61">
        <v>0.6875</v>
      </c>
      <c r="B266" s="163"/>
      <c r="C266" s="164"/>
      <c r="D266" s="164"/>
      <c r="E266" s="65"/>
    </row>
    <row r="267" spans="1:5" ht="24.6" customHeight="1" thickBot="1">
      <c r="A267" s="66">
        <v>0.70833333333333404</v>
      </c>
      <c r="B267" s="165"/>
      <c r="C267" s="166"/>
      <c r="D267" s="166"/>
      <c r="E267" s="70"/>
    </row>
    <row r="280" spans="1:5" ht="20.100000000000001">
      <c r="A280" s="141" t="str">
        <f>IF('Audit information'!$B$3&gt;8,"Audit Timetable - Day 9","DELETE TABLE")</f>
        <v>Audit Timetable - Day 9</v>
      </c>
      <c r="B280" s="141"/>
      <c r="C280" s="141"/>
      <c r="D280" s="141"/>
      <c r="E280" s="141"/>
    </row>
    <row r="281" spans="1:5" ht="20.45" thickBot="1">
      <c r="A281" s="110"/>
      <c r="B281" s="111"/>
      <c r="C281" s="111"/>
      <c r="D281" s="77" t="s">
        <v>168</v>
      </c>
      <c r="E281" s="47" t="e">
        <f>IF('Audit information'!$B$3&gt;8,'Audit information'!$B$4+8,"DELETE TABLE")</f>
        <v>#VALUE!</v>
      </c>
    </row>
    <row r="282" spans="1:5" ht="24.6" customHeight="1">
      <c r="A282" s="100"/>
      <c r="B282" s="50" t="s">
        <v>173</v>
      </c>
      <c r="C282" s="167" t="str">
        <f>'Audit information'!$B$8</f>
        <v>&lt;&lt;Lead auditor&gt;&gt;</v>
      </c>
      <c r="D282" s="167"/>
      <c r="E282" s="168"/>
    </row>
    <row r="283" spans="1:5" ht="24.6" customHeight="1" thickBot="1">
      <c r="A283" s="100"/>
      <c r="B283" s="169" t="s">
        <v>171</v>
      </c>
      <c r="C283" s="170"/>
      <c r="D283" s="170"/>
      <c r="E283" s="55" t="s">
        <v>172</v>
      </c>
    </row>
    <row r="284" spans="1:5" ht="24.6" customHeight="1">
      <c r="A284" s="56">
        <v>0.33333333333333331</v>
      </c>
      <c r="B284" s="171"/>
      <c r="C284" s="172"/>
      <c r="D284" s="172"/>
      <c r="E284" s="60"/>
    </row>
    <row r="285" spans="1:5" ht="24.6" customHeight="1">
      <c r="A285" s="61">
        <v>0.35416666666666669</v>
      </c>
      <c r="B285" s="163"/>
      <c r="C285" s="164"/>
      <c r="D285" s="164"/>
      <c r="E285" s="65"/>
    </row>
    <row r="286" spans="1:5" ht="24.6" customHeight="1">
      <c r="A286" s="61">
        <v>0.375</v>
      </c>
      <c r="B286" s="163"/>
      <c r="C286" s="164"/>
      <c r="D286" s="164"/>
      <c r="E286" s="65"/>
    </row>
    <row r="287" spans="1:5" ht="24.6" customHeight="1">
      <c r="A287" s="61">
        <v>0.39583333333333331</v>
      </c>
      <c r="B287" s="163"/>
      <c r="C287" s="164"/>
      <c r="D287" s="164"/>
      <c r="E287" s="65"/>
    </row>
    <row r="288" spans="1:5" ht="24.6" customHeight="1">
      <c r="A288" s="61">
        <v>0.41666666666666702</v>
      </c>
      <c r="B288" s="163"/>
      <c r="C288" s="164"/>
      <c r="D288" s="164"/>
      <c r="E288" s="65"/>
    </row>
    <row r="289" spans="1:5" ht="24.6" customHeight="1">
      <c r="A289" s="61">
        <v>0.4375</v>
      </c>
      <c r="B289" s="163"/>
      <c r="C289" s="164"/>
      <c r="D289" s="164"/>
      <c r="E289" s="65"/>
    </row>
    <row r="290" spans="1:5" ht="24.6" customHeight="1">
      <c r="A290" s="61">
        <v>0.45833333333333298</v>
      </c>
      <c r="B290" s="163"/>
      <c r="C290" s="164"/>
      <c r="D290" s="164"/>
      <c r="E290" s="65"/>
    </row>
    <row r="291" spans="1:5" ht="24.6" customHeight="1">
      <c r="A291" s="61">
        <v>0.47916666666666702</v>
      </c>
      <c r="B291" s="163"/>
      <c r="C291" s="164"/>
      <c r="D291" s="164"/>
      <c r="E291" s="65"/>
    </row>
    <row r="292" spans="1:5" ht="24.6" customHeight="1">
      <c r="A292" s="61">
        <v>0.5</v>
      </c>
      <c r="B292" s="163"/>
      <c r="C292" s="164"/>
      <c r="D292" s="164"/>
      <c r="E292" s="65"/>
    </row>
    <row r="293" spans="1:5" ht="24.6" customHeight="1">
      <c r="A293" s="61">
        <v>0.52083333333333304</v>
      </c>
      <c r="B293" s="163"/>
      <c r="C293" s="164"/>
      <c r="D293" s="164"/>
      <c r="E293" s="65"/>
    </row>
    <row r="294" spans="1:5" ht="24.6" customHeight="1">
      <c r="A294" s="61">
        <v>0.54166666666666696</v>
      </c>
      <c r="B294" s="163"/>
      <c r="C294" s="164"/>
      <c r="D294" s="164"/>
      <c r="E294" s="65"/>
    </row>
    <row r="295" spans="1:5" ht="24.6" customHeight="1">
      <c r="A295" s="61">
        <v>0.5625</v>
      </c>
      <c r="B295" s="163"/>
      <c r="C295" s="164"/>
      <c r="D295" s="164"/>
      <c r="E295" s="65"/>
    </row>
    <row r="296" spans="1:5" ht="24.6" customHeight="1">
      <c r="A296" s="61">
        <v>0.58333333333333304</v>
      </c>
      <c r="B296" s="163"/>
      <c r="C296" s="164"/>
      <c r="D296" s="164"/>
      <c r="E296" s="65"/>
    </row>
    <row r="297" spans="1:5" ht="24.6" customHeight="1">
      <c r="A297" s="61">
        <v>0.60416666666666696</v>
      </c>
      <c r="B297" s="163"/>
      <c r="C297" s="164"/>
      <c r="D297" s="164"/>
      <c r="E297" s="65"/>
    </row>
    <row r="298" spans="1:5" ht="24.6" customHeight="1">
      <c r="A298" s="61">
        <v>0.625</v>
      </c>
      <c r="B298" s="163"/>
      <c r="C298" s="164"/>
      <c r="D298" s="164"/>
      <c r="E298" s="65"/>
    </row>
    <row r="299" spans="1:5" ht="24.6" customHeight="1">
      <c r="A299" s="61">
        <v>0.64583333333333404</v>
      </c>
      <c r="B299" s="163"/>
      <c r="C299" s="164"/>
      <c r="D299" s="164"/>
      <c r="E299" s="65"/>
    </row>
    <row r="300" spans="1:5" ht="24.6" customHeight="1">
      <c r="A300" s="61">
        <v>0.66666666666666696</v>
      </c>
      <c r="B300" s="163"/>
      <c r="C300" s="164"/>
      <c r="D300" s="164"/>
      <c r="E300" s="65"/>
    </row>
    <row r="301" spans="1:5" ht="24.6" customHeight="1">
      <c r="A301" s="61">
        <v>0.6875</v>
      </c>
      <c r="B301" s="163"/>
      <c r="C301" s="164"/>
      <c r="D301" s="164"/>
      <c r="E301" s="65"/>
    </row>
    <row r="302" spans="1:5" ht="24.6" customHeight="1" thickBot="1">
      <c r="A302" s="66">
        <v>0.70833333333333404</v>
      </c>
      <c r="B302" s="165"/>
      <c r="C302" s="166"/>
      <c r="D302" s="166"/>
      <c r="E302" s="70"/>
    </row>
    <row r="315" spans="1:5" ht="20.100000000000001">
      <c r="A315" s="141" t="str">
        <f>IF('Audit information'!$B$3&gt;9,"Audit Timetable - Day 10","DELETE TABLE")</f>
        <v>Audit Timetable - Day 10</v>
      </c>
      <c r="B315" s="141"/>
      <c r="C315" s="141"/>
      <c r="D315" s="141"/>
      <c r="E315" s="141"/>
    </row>
    <row r="316" spans="1:5" ht="20.45" thickBot="1">
      <c r="A316" s="110"/>
      <c r="B316" s="111"/>
      <c r="C316" s="111"/>
      <c r="D316" s="77" t="s">
        <v>168</v>
      </c>
      <c r="E316" s="47" t="e">
        <f>IF('Audit information'!$B$3&gt;9,'Audit information'!$B$4+9,"DELETE TABLE")</f>
        <v>#VALUE!</v>
      </c>
    </row>
    <row r="317" spans="1:5" ht="24" customHeight="1">
      <c r="A317" s="100"/>
      <c r="B317" s="50" t="s">
        <v>173</v>
      </c>
      <c r="C317" s="167" t="str">
        <f>'Audit information'!$B$8</f>
        <v>&lt;&lt;Lead auditor&gt;&gt;</v>
      </c>
      <c r="D317" s="167"/>
      <c r="E317" s="168"/>
    </row>
    <row r="318" spans="1:5" ht="24" customHeight="1" thickBot="1">
      <c r="A318" s="100"/>
      <c r="B318" s="169" t="s">
        <v>171</v>
      </c>
      <c r="C318" s="170"/>
      <c r="D318" s="170"/>
      <c r="E318" s="55" t="s">
        <v>172</v>
      </c>
    </row>
    <row r="319" spans="1:5" ht="24" customHeight="1">
      <c r="A319" s="56">
        <v>0.33333333333333331</v>
      </c>
      <c r="B319" s="171"/>
      <c r="C319" s="172"/>
      <c r="D319" s="172"/>
      <c r="E319" s="60"/>
    </row>
    <row r="320" spans="1:5" ht="24" customHeight="1">
      <c r="A320" s="61">
        <v>0.35416666666666669</v>
      </c>
      <c r="B320" s="163"/>
      <c r="C320" s="164"/>
      <c r="D320" s="164"/>
      <c r="E320" s="65"/>
    </row>
    <row r="321" spans="1:5" ht="24" customHeight="1">
      <c r="A321" s="61">
        <v>0.375</v>
      </c>
      <c r="B321" s="163"/>
      <c r="C321" s="164"/>
      <c r="D321" s="164"/>
      <c r="E321" s="65"/>
    </row>
    <row r="322" spans="1:5" ht="24" customHeight="1">
      <c r="A322" s="61">
        <v>0.39583333333333331</v>
      </c>
      <c r="B322" s="163"/>
      <c r="C322" s="164"/>
      <c r="D322" s="164"/>
      <c r="E322" s="65"/>
    </row>
    <row r="323" spans="1:5" ht="24" customHeight="1">
      <c r="A323" s="61">
        <v>0.41666666666666702</v>
      </c>
      <c r="B323" s="163"/>
      <c r="C323" s="164"/>
      <c r="D323" s="164"/>
      <c r="E323" s="65"/>
    </row>
    <row r="324" spans="1:5" ht="24" customHeight="1">
      <c r="A324" s="61">
        <v>0.4375</v>
      </c>
      <c r="B324" s="163"/>
      <c r="C324" s="164"/>
      <c r="D324" s="164"/>
      <c r="E324" s="65"/>
    </row>
    <row r="325" spans="1:5" ht="24" customHeight="1">
      <c r="A325" s="61">
        <v>0.45833333333333298</v>
      </c>
      <c r="B325" s="163"/>
      <c r="C325" s="164"/>
      <c r="D325" s="164"/>
      <c r="E325" s="65"/>
    </row>
    <row r="326" spans="1:5" ht="24" customHeight="1">
      <c r="A326" s="61">
        <v>0.47916666666666702</v>
      </c>
      <c r="B326" s="163"/>
      <c r="C326" s="164"/>
      <c r="D326" s="164"/>
      <c r="E326" s="65"/>
    </row>
    <row r="327" spans="1:5" ht="24" customHeight="1">
      <c r="A327" s="61">
        <v>0.5</v>
      </c>
      <c r="B327" s="163"/>
      <c r="C327" s="164"/>
      <c r="D327" s="164"/>
      <c r="E327" s="65"/>
    </row>
    <row r="328" spans="1:5" ht="24" customHeight="1">
      <c r="A328" s="61">
        <v>0.52083333333333304</v>
      </c>
      <c r="B328" s="163"/>
      <c r="C328" s="164"/>
      <c r="D328" s="164"/>
      <c r="E328" s="65"/>
    </row>
    <row r="329" spans="1:5" ht="24" customHeight="1">
      <c r="A329" s="61">
        <v>0.54166666666666696</v>
      </c>
      <c r="B329" s="163"/>
      <c r="C329" s="164"/>
      <c r="D329" s="164"/>
      <c r="E329" s="65"/>
    </row>
    <row r="330" spans="1:5" ht="24" customHeight="1">
      <c r="A330" s="61">
        <v>0.5625</v>
      </c>
      <c r="B330" s="163"/>
      <c r="C330" s="164"/>
      <c r="D330" s="164"/>
      <c r="E330" s="65"/>
    </row>
    <row r="331" spans="1:5" ht="24" customHeight="1">
      <c r="A331" s="61">
        <v>0.58333333333333304</v>
      </c>
      <c r="B331" s="163"/>
      <c r="C331" s="164"/>
      <c r="D331" s="164"/>
      <c r="E331" s="65"/>
    </row>
    <row r="332" spans="1:5" ht="24" customHeight="1">
      <c r="A332" s="61">
        <v>0.60416666666666696</v>
      </c>
      <c r="B332" s="163"/>
      <c r="C332" s="164"/>
      <c r="D332" s="164"/>
      <c r="E332" s="65"/>
    </row>
    <row r="333" spans="1:5" ht="24" customHeight="1">
      <c r="A333" s="61">
        <v>0.625</v>
      </c>
      <c r="B333" s="163"/>
      <c r="C333" s="164"/>
      <c r="D333" s="164"/>
      <c r="E333" s="65"/>
    </row>
    <row r="334" spans="1:5" ht="24" customHeight="1">
      <c r="A334" s="61">
        <v>0.64583333333333404</v>
      </c>
      <c r="B334" s="163"/>
      <c r="C334" s="164"/>
      <c r="D334" s="164"/>
      <c r="E334" s="65"/>
    </row>
    <row r="335" spans="1:5" ht="24" customHeight="1">
      <c r="A335" s="61">
        <v>0.66666666666666696</v>
      </c>
      <c r="B335" s="163"/>
      <c r="C335" s="164"/>
      <c r="D335" s="164"/>
      <c r="E335" s="65"/>
    </row>
    <row r="336" spans="1:5" ht="24" customHeight="1">
      <c r="A336" s="61">
        <v>0.6875</v>
      </c>
      <c r="B336" s="163"/>
      <c r="C336" s="164"/>
      <c r="D336" s="164"/>
      <c r="E336" s="65"/>
    </row>
    <row r="337" spans="1:5" ht="24" customHeight="1" thickBot="1">
      <c r="A337" s="66">
        <v>0.70833333333333404</v>
      </c>
      <c r="B337" s="165"/>
      <c r="C337" s="166"/>
      <c r="D337" s="166"/>
      <c r="E337" s="70"/>
    </row>
  </sheetData>
  <mergeCells count="220">
    <mergeCell ref="B336:D336"/>
    <mergeCell ref="B337:D337"/>
    <mergeCell ref="B327:D327"/>
    <mergeCell ref="B328:D328"/>
    <mergeCell ref="B329:D329"/>
    <mergeCell ref="B330:D330"/>
    <mergeCell ref="B331:D331"/>
    <mergeCell ref="B332:D332"/>
    <mergeCell ref="B333:D333"/>
    <mergeCell ref="B334:D334"/>
    <mergeCell ref="B335:D335"/>
    <mergeCell ref="B318:D318"/>
    <mergeCell ref="B319:D319"/>
    <mergeCell ref="B320:D320"/>
    <mergeCell ref="B321:D321"/>
    <mergeCell ref="B322:D322"/>
    <mergeCell ref="B323:D323"/>
    <mergeCell ref="B324:D324"/>
    <mergeCell ref="B325:D325"/>
    <mergeCell ref="B326:D326"/>
    <mergeCell ref="B296:D296"/>
    <mergeCell ref="B297:D297"/>
    <mergeCell ref="B298:D298"/>
    <mergeCell ref="B299:D299"/>
    <mergeCell ref="B300:D300"/>
    <mergeCell ref="B301:D301"/>
    <mergeCell ref="B302:D302"/>
    <mergeCell ref="A315:E315"/>
    <mergeCell ref="C317:E317"/>
    <mergeCell ref="B287:D287"/>
    <mergeCell ref="B288:D288"/>
    <mergeCell ref="B289:D289"/>
    <mergeCell ref="B290:D290"/>
    <mergeCell ref="B291:D291"/>
    <mergeCell ref="B292:D292"/>
    <mergeCell ref="B293:D293"/>
    <mergeCell ref="B294:D294"/>
    <mergeCell ref="B295:D295"/>
    <mergeCell ref="B265:D265"/>
    <mergeCell ref="B266:D266"/>
    <mergeCell ref="B267:D267"/>
    <mergeCell ref="A280:E280"/>
    <mergeCell ref="C282:E282"/>
    <mergeCell ref="B283:D283"/>
    <mergeCell ref="B284:D284"/>
    <mergeCell ref="B285:D285"/>
    <mergeCell ref="B286:D286"/>
    <mergeCell ref="B256:D256"/>
    <mergeCell ref="B257:D257"/>
    <mergeCell ref="B258:D258"/>
    <mergeCell ref="B259:D259"/>
    <mergeCell ref="B260:D260"/>
    <mergeCell ref="B261:D261"/>
    <mergeCell ref="B262:D262"/>
    <mergeCell ref="B263:D263"/>
    <mergeCell ref="B264:D264"/>
    <mergeCell ref="C247:E247"/>
    <mergeCell ref="B248:D248"/>
    <mergeCell ref="B249:D249"/>
    <mergeCell ref="B250:D250"/>
    <mergeCell ref="B251:D251"/>
    <mergeCell ref="B252:D252"/>
    <mergeCell ref="B253:D253"/>
    <mergeCell ref="B254:D254"/>
    <mergeCell ref="B255:D255"/>
    <mergeCell ref="B225:D225"/>
    <mergeCell ref="B226:D226"/>
    <mergeCell ref="B227:D227"/>
    <mergeCell ref="B228:D228"/>
    <mergeCell ref="B229:D229"/>
    <mergeCell ref="B230:D230"/>
    <mergeCell ref="B231:D231"/>
    <mergeCell ref="B232:D232"/>
    <mergeCell ref="A245:E245"/>
    <mergeCell ref="B216:D216"/>
    <mergeCell ref="B217:D217"/>
    <mergeCell ref="B218:D218"/>
    <mergeCell ref="B219:D219"/>
    <mergeCell ref="B220:D220"/>
    <mergeCell ref="B221:D221"/>
    <mergeCell ref="B222:D222"/>
    <mergeCell ref="B223:D223"/>
    <mergeCell ref="B224:D224"/>
    <mergeCell ref="B193:D193"/>
    <mergeCell ref="B194:D194"/>
    <mergeCell ref="B195:D195"/>
    <mergeCell ref="B196:D196"/>
    <mergeCell ref="A210:E210"/>
    <mergeCell ref="C212:E212"/>
    <mergeCell ref="B213:D213"/>
    <mergeCell ref="B214:D214"/>
    <mergeCell ref="B215:D215"/>
    <mergeCell ref="B184:D184"/>
    <mergeCell ref="B185:D185"/>
    <mergeCell ref="B186:D186"/>
    <mergeCell ref="B187:D187"/>
    <mergeCell ref="B188:D188"/>
    <mergeCell ref="B189:D189"/>
    <mergeCell ref="B190:D190"/>
    <mergeCell ref="B191:D191"/>
    <mergeCell ref="B192:D192"/>
    <mergeCell ref="A174:E174"/>
    <mergeCell ref="C176:E176"/>
    <mergeCell ref="B177:D177"/>
    <mergeCell ref="B178:D178"/>
    <mergeCell ref="B179:D179"/>
    <mergeCell ref="B180:D180"/>
    <mergeCell ref="B181:D181"/>
    <mergeCell ref="B182:D182"/>
    <mergeCell ref="B183:D183"/>
    <mergeCell ref="B113:D113"/>
    <mergeCell ref="A1:E1"/>
    <mergeCell ref="B157:D157"/>
    <mergeCell ref="B158:D158"/>
    <mergeCell ref="B159:D159"/>
    <mergeCell ref="B160:D160"/>
    <mergeCell ref="B161:D161"/>
    <mergeCell ref="B152:D152"/>
    <mergeCell ref="B153:D153"/>
    <mergeCell ref="B154:D154"/>
    <mergeCell ref="B155:D155"/>
    <mergeCell ref="B156:D156"/>
    <mergeCell ref="B147:D147"/>
    <mergeCell ref="B148:D148"/>
    <mergeCell ref="B149:D149"/>
    <mergeCell ref="B150:D150"/>
    <mergeCell ref="B151:D151"/>
    <mergeCell ref="C141:E141"/>
    <mergeCell ref="B143:D143"/>
    <mergeCell ref="B144:D144"/>
    <mergeCell ref="B145:D145"/>
    <mergeCell ref="B146:D146"/>
    <mergeCell ref="B142:D142"/>
    <mergeCell ref="A35:E35"/>
    <mergeCell ref="B114:D114"/>
    <mergeCell ref="B115:D115"/>
    <mergeCell ref="A139:E139"/>
    <mergeCell ref="B125:D125"/>
    <mergeCell ref="B126:D126"/>
    <mergeCell ref="B90:D90"/>
    <mergeCell ref="B91:D91"/>
    <mergeCell ref="B123:D123"/>
    <mergeCell ref="B124:D124"/>
    <mergeCell ref="B116:D116"/>
    <mergeCell ref="B117:D117"/>
    <mergeCell ref="B118:D118"/>
    <mergeCell ref="B119:D119"/>
    <mergeCell ref="B120:D120"/>
    <mergeCell ref="B121:D121"/>
    <mergeCell ref="B122:D122"/>
    <mergeCell ref="A104:E104"/>
    <mergeCell ref="C106:E106"/>
    <mergeCell ref="B107:D107"/>
    <mergeCell ref="B108:D108"/>
    <mergeCell ref="B109:D109"/>
    <mergeCell ref="B110:D110"/>
    <mergeCell ref="B111:D111"/>
    <mergeCell ref="B112:D112"/>
    <mergeCell ref="B85:D85"/>
    <mergeCell ref="B86:D86"/>
    <mergeCell ref="B87:D87"/>
    <mergeCell ref="B88:D88"/>
    <mergeCell ref="B89:D89"/>
    <mergeCell ref="B80:D80"/>
    <mergeCell ref="B81:D81"/>
    <mergeCell ref="B82:D82"/>
    <mergeCell ref="B83:D83"/>
    <mergeCell ref="B84:D84"/>
    <mergeCell ref="B75:D75"/>
    <mergeCell ref="B76:D76"/>
    <mergeCell ref="B77:D77"/>
    <mergeCell ref="B78:D78"/>
    <mergeCell ref="B79:D79"/>
    <mergeCell ref="B57:D57"/>
    <mergeCell ref="C71:E71"/>
    <mergeCell ref="B72:D72"/>
    <mergeCell ref="B73:D73"/>
    <mergeCell ref="B74:D74"/>
    <mergeCell ref="A69:E69"/>
    <mergeCell ref="B52:D52"/>
    <mergeCell ref="B53:D53"/>
    <mergeCell ref="B54:D54"/>
    <mergeCell ref="B55:D55"/>
    <mergeCell ref="B56:D56"/>
    <mergeCell ref="B47:D47"/>
    <mergeCell ref="B48:D48"/>
    <mergeCell ref="B49:D49"/>
    <mergeCell ref="B50:D50"/>
    <mergeCell ref="B51:D51"/>
    <mergeCell ref="B42:D42"/>
    <mergeCell ref="B43:D43"/>
    <mergeCell ref="B44:D44"/>
    <mergeCell ref="B45:D45"/>
    <mergeCell ref="B46:D46"/>
    <mergeCell ref="C37:E37"/>
    <mergeCell ref="B38:D38"/>
    <mergeCell ref="B39:D39"/>
    <mergeCell ref="B40:D40"/>
    <mergeCell ref="B41:D41"/>
    <mergeCell ref="B14:D14"/>
    <mergeCell ref="C3:E3"/>
    <mergeCell ref="B4:D4"/>
    <mergeCell ref="B5:D5"/>
    <mergeCell ref="B6:D6"/>
    <mergeCell ref="B7:D7"/>
    <mergeCell ref="B8:D8"/>
    <mergeCell ref="B9:D9"/>
    <mergeCell ref="B10:D10"/>
    <mergeCell ref="B11:D11"/>
    <mergeCell ref="B12:D12"/>
    <mergeCell ref="B13:D13"/>
    <mergeCell ref="B21:D21"/>
    <mergeCell ref="B22:D22"/>
    <mergeCell ref="B23:D23"/>
    <mergeCell ref="B15:D15"/>
    <mergeCell ref="B16:D16"/>
    <mergeCell ref="B17:D17"/>
    <mergeCell ref="B18:D18"/>
    <mergeCell ref="B19:D19"/>
    <mergeCell ref="B20:D20"/>
  </mergeCells>
  <conditionalFormatting sqref="A1">
    <cfRule type="containsText" dxfId="27" priority="13" operator="containsText" text="USE OTHER AUDIT TIMETABLE TEMPLATE">
      <formula>NOT(ISERROR(SEARCH("USE OTHER AUDIT TIMETABLE TEMPLATE",A1)))</formula>
    </cfRule>
  </conditionalFormatting>
  <conditionalFormatting sqref="A35:E35">
    <cfRule type="containsText" dxfId="26" priority="22" operator="containsText" text="Delete table">
      <formula>NOT(ISERROR(SEARCH("Delete table",A35)))</formula>
    </cfRule>
  </conditionalFormatting>
  <conditionalFormatting sqref="A69:E69">
    <cfRule type="containsText" dxfId="25" priority="21" operator="containsText" text="Delete table">
      <formula>NOT(ISERROR(SEARCH("Delete table",A69)))</formula>
    </cfRule>
  </conditionalFormatting>
  <conditionalFormatting sqref="A104:E104">
    <cfRule type="containsText" dxfId="24" priority="20" operator="containsText" text="Delete table">
      <formula>NOT(ISERROR(SEARCH("Delete table",A104)))</formula>
    </cfRule>
  </conditionalFormatting>
  <conditionalFormatting sqref="A139:E139">
    <cfRule type="containsText" dxfId="23" priority="19" operator="containsText" text="Delete table">
      <formula>NOT(ISERROR(SEARCH("Delete table",A139)))</formula>
    </cfRule>
  </conditionalFormatting>
  <conditionalFormatting sqref="A174:E174">
    <cfRule type="containsText" dxfId="22" priority="12" operator="containsText" text="Delete table">
      <formula>NOT(ISERROR(SEARCH("Delete table",A174)))</formula>
    </cfRule>
  </conditionalFormatting>
  <conditionalFormatting sqref="A210:E210">
    <cfRule type="containsText" dxfId="21" priority="10" operator="containsText" text="Delete table">
      <formula>NOT(ISERROR(SEARCH("Delete table",A210)))</formula>
    </cfRule>
  </conditionalFormatting>
  <conditionalFormatting sqref="A245:E245">
    <cfRule type="containsText" dxfId="20" priority="8" operator="containsText" text="Delete table">
      <formula>NOT(ISERROR(SEARCH("Delete table",A245)))</formula>
    </cfRule>
  </conditionalFormatting>
  <conditionalFormatting sqref="A280:E280">
    <cfRule type="containsText" dxfId="19" priority="6" operator="containsText" text="Delete table">
      <formula>NOT(ISERROR(SEARCH("Delete table",A280)))</formula>
    </cfRule>
  </conditionalFormatting>
  <conditionalFormatting sqref="A315:E315">
    <cfRule type="containsText" dxfId="18" priority="4" operator="containsText" text="Delete table">
      <formula>NOT(ISERROR(SEARCH("Delete table",A315)))</formula>
    </cfRule>
  </conditionalFormatting>
  <conditionalFormatting sqref="C3:E3 C37:E37 C71:E71 C106:E106 C141:E141 C176:E176 C212:E212 C247:E247 C282:E282 C317:E317">
    <cfRule type="containsText" dxfId="17" priority="1" operator="containsText" text="&lt;&lt;">
      <formula>NOT(ISERROR(SEARCH("&lt;&lt;",C3)))</formula>
    </cfRule>
  </conditionalFormatting>
  <conditionalFormatting sqref="E2">
    <cfRule type="containsText" dxfId="16" priority="2" operator="containsText" text="dd/mm/yyyy">
      <formula>NOT(ISERROR(SEARCH("dd/mm/yyyy",E2)))</formula>
    </cfRule>
    <cfRule type="containsText" dxfId="15" priority="16" operator="containsText" text="delete table">
      <formula>NOT(ISERROR(SEARCH("delete table",E2)))</formula>
    </cfRule>
  </conditionalFormatting>
  <conditionalFormatting sqref="E36">
    <cfRule type="containsText" dxfId="14" priority="17" operator="containsText" text="delete table">
      <formula>NOT(ISERROR(SEARCH("delete table",E36)))</formula>
    </cfRule>
  </conditionalFormatting>
  <conditionalFormatting sqref="E70">
    <cfRule type="containsText" dxfId="13" priority="18" operator="containsText" text="delete table">
      <formula>NOT(ISERROR(SEARCH("delete table",E70)))</formula>
    </cfRule>
  </conditionalFormatting>
  <conditionalFormatting sqref="E105">
    <cfRule type="containsText" dxfId="12" priority="15" operator="containsText" text="delete table">
      <formula>NOT(ISERROR(SEARCH("delete table",E105)))</formula>
    </cfRule>
  </conditionalFormatting>
  <conditionalFormatting sqref="E140">
    <cfRule type="containsText" dxfId="11" priority="14" operator="containsText" text="delete table">
      <formula>NOT(ISERROR(SEARCH("delete table",E140)))</formula>
    </cfRule>
  </conditionalFormatting>
  <conditionalFormatting sqref="E175">
    <cfRule type="containsText" dxfId="10" priority="11" operator="containsText" text="delete table">
      <formula>NOT(ISERROR(SEARCH("delete table",E175)))</formula>
    </cfRule>
  </conditionalFormatting>
  <conditionalFormatting sqref="E211">
    <cfRule type="containsText" dxfId="9" priority="9" operator="containsText" text="delete table">
      <formula>NOT(ISERROR(SEARCH("delete table",E211)))</formula>
    </cfRule>
  </conditionalFormatting>
  <conditionalFormatting sqref="E246">
    <cfRule type="containsText" dxfId="8" priority="7" operator="containsText" text="delete table">
      <formula>NOT(ISERROR(SEARCH("delete table",E246)))</formula>
    </cfRule>
  </conditionalFormatting>
  <conditionalFormatting sqref="E281">
    <cfRule type="containsText" dxfId="7" priority="5" operator="containsText" text="delete table">
      <formula>NOT(ISERROR(SEARCH("delete table",E281)))</formula>
    </cfRule>
  </conditionalFormatting>
  <conditionalFormatting sqref="E316">
    <cfRule type="containsText" dxfId="6" priority="3" operator="containsText" text="delete table">
      <formula>NOT(ISERROR(SEARCH("delete table",E316)))</formula>
    </cfRule>
  </conditionalFormatting>
  <pageMargins left="0.7" right="0.7" top="0.75" bottom="0.75" header="0.3" footer="0.3"/>
  <pageSetup paperSize="9" orientation="portrait" verticalDpi="1200" r:id="rId1"/>
  <headerFooter>
    <oddFooter>&amp;L&amp;"Arial,Regular"&amp;8&lt;&lt;footer&gt;&gt;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view="pageLayout" zoomScaleNormal="100" workbookViewId="0">
      <selection activeCell="A28" sqref="A28:C28"/>
    </sheetView>
  </sheetViews>
  <sheetFormatPr defaultColWidth="8.85546875" defaultRowHeight="14.1"/>
  <cols>
    <col min="1" max="1" width="27" style="4" customWidth="1"/>
    <col min="2" max="2" width="51.7109375" style="4" customWidth="1"/>
    <col min="3" max="3" width="8.5703125" style="4" customWidth="1"/>
    <col min="4" max="5" width="8.85546875" style="4"/>
    <col min="6" max="6" width="11.42578125" style="4" customWidth="1"/>
    <col min="7" max="16384" width="8.85546875" style="4"/>
  </cols>
  <sheetData>
    <row r="1" spans="1:6" ht="20.100000000000001">
      <c r="A1" s="106" t="s">
        <v>174</v>
      </c>
      <c r="B1" s="106"/>
      <c r="C1" s="106"/>
      <c r="E1" s="10"/>
      <c r="F1" s="10"/>
    </row>
    <row r="2" spans="1:6" ht="15" customHeight="1">
      <c r="A2" s="13"/>
      <c r="B2" s="13"/>
      <c r="C2" s="13"/>
      <c r="D2" s="10"/>
      <c r="E2" s="10"/>
      <c r="F2" s="10"/>
    </row>
    <row r="3" spans="1:6" ht="29.45" customHeight="1">
      <c r="A3" s="156" t="str">
        <f>'Audit information'!H16</f>
        <v>Thank you for selecting &lt;&lt;Audit body&gt;&gt; for the provision of audit services. Please refer to the following information regarding the outcome of your audit.</v>
      </c>
      <c r="B3" s="156"/>
      <c r="C3" s="156"/>
      <c r="D3" s="10"/>
      <c r="E3" s="10"/>
      <c r="F3" s="10"/>
    </row>
    <row r="4" spans="1:6">
      <c r="A4" s="38"/>
      <c r="B4" s="38"/>
      <c r="C4" s="38"/>
    </row>
    <row r="5" spans="1:6" ht="21.6" customHeight="1">
      <c r="A5" s="44" t="s">
        <v>175</v>
      </c>
      <c r="B5" s="142" t="str">
        <f>'Audit information'!B2</f>
        <v>&lt;&lt;Auditee&gt;&gt;</v>
      </c>
      <c r="C5" s="142"/>
    </row>
    <row r="6" spans="1:6" ht="21.6" customHeight="1">
      <c r="A6" s="44" t="s">
        <v>158</v>
      </c>
      <c r="B6" s="142" t="str">
        <f>'Audit information'!B18</f>
        <v>&lt;&lt;Audit client&gt;&gt;</v>
      </c>
      <c r="C6" s="142"/>
    </row>
    <row r="7" spans="1:6" ht="21.6" customHeight="1">
      <c r="A7" s="44" t="s">
        <v>176</v>
      </c>
      <c r="B7" s="145" t="str">
        <f>'Audit information'!B8</f>
        <v>&lt;&lt;Lead auditor&gt;&gt;</v>
      </c>
      <c r="C7" s="145"/>
    </row>
    <row r="8" spans="1:6" ht="21.6" customHeight="1">
      <c r="A8" s="38"/>
      <c r="B8" s="38"/>
      <c r="C8" s="38"/>
    </row>
    <row r="9" spans="1:6" ht="35.450000000000003" customHeight="1">
      <c r="A9" s="44" t="s">
        <v>134</v>
      </c>
      <c r="B9" s="142" t="str">
        <f>'Audit information'!B15</f>
        <v>To determine the capablity of the management system to meet the audit criteria, and to identify areas of potential improvement.</v>
      </c>
      <c r="C9" s="142"/>
    </row>
    <row r="10" spans="1:6" ht="21.6" customHeight="1">
      <c r="A10" s="44" t="s">
        <v>135</v>
      </c>
      <c r="B10" s="142" t="str">
        <f>'Audit information'!B16</f>
        <v>&lt;&lt;Audit scope&gt;&gt;</v>
      </c>
      <c r="C10" s="142"/>
    </row>
    <row r="11" spans="1:6" ht="21.6" customHeight="1">
      <c r="A11" s="44" t="s">
        <v>136</v>
      </c>
      <c r="B11" s="142" t="str">
        <f>'Audit information'!B17</f>
        <v>&lt;&lt;Audit criteria&gt;&gt;</v>
      </c>
      <c r="C11" s="142"/>
    </row>
    <row r="12" spans="1:6" ht="21.6" customHeight="1">
      <c r="A12" s="44" t="str">
        <f>IF('Audit information'!B3=1,"Audit date:","Audit dates:")</f>
        <v>Audit dates:</v>
      </c>
      <c r="B12" s="142" t="str">
        <f>IFERROR(IF('Audit information'!B3=1,TEXT('Audit information'!B4,"DD/MM/YYYY"),(TEXT('Audit information'!B4,"DD/MM/YYYY")&amp;" to "&amp;TEXT('Audit information'!B5,"DD/MM/YYYY"))),"&lt;&lt;Audit date&gt;&gt;")</f>
        <v>&lt;&lt;Audit date&gt;&gt;</v>
      </c>
      <c r="C12" s="142"/>
    </row>
    <row r="13" spans="1:6" ht="21.6" customHeight="1">
      <c r="A13" s="44" t="s">
        <v>139</v>
      </c>
      <c r="B13" s="142" t="str">
        <f>'Audit information'!B19</f>
        <v>&lt;&lt;Main location&gt;&gt;</v>
      </c>
      <c r="C13" s="142"/>
    </row>
    <row r="14" spans="1:6" ht="21.6" customHeight="1">
      <c r="A14" s="44" t="s">
        <v>160</v>
      </c>
      <c r="B14" s="142" t="b">
        <f>IF('Audit information'!B20=0,"Nil",(IF('Audit information'!B20=1,'Audit information'!B21,(IF('Audit information'!B20=2,(CONCATENATE('Audit information'!B21,'Audit information'!T6,'Audit information'!B22)),(IF('Audit information'!B20=3,(CONCATENATE('Audit information'!B21,'Audit information'!T4,'Audit information'!B22,'Audit information'!T5,'Audit information'!B23)),(IF('Audit information'!B20=4,(CONCATENATE('Audit information'!B21,'Audit information'!T3,'Audit information'!B22,'Audit information'!T4,'Audit information'!B23,'Audit information'!T5,'Audit information'!B24)),(IF('Audit information'!B20=5,(CONCATENATE('Audit information'!B21,'Audit information'!T2,'Audit information'!B22,'Audit information'!T3,'Audit information'!B23,'Audit information'!T4,'Audit information'!B24,'Audit information'!T5,'Audit information'!B25)))))))))))))</f>
        <v>0</v>
      </c>
      <c r="C14" s="142"/>
    </row>
    <row r="15" spans="1:6" ht="21.6" customHeight="1">
      <c r="A15" s="44" t="str">
        <f>IF('Audit information'!$B$9=0,"Principal auditor:","Lead auditor:")</f>
        <v>Lead auditor:</v>
      </c>
      <c r="B15" s="142" t="str">
        <f>'Audit information'!B8</f>
        <v>&lt;&lt;Lead auditor&gt;&gt;</v>
      </c>
      <c r="C15" s="142"/>
    </row>
    <row r="16" spans="1:6" ht="21.6" customHeight="1">
      <c r="A16" s="44" t="s">
        <v>138</v>
      </c>
      <c r="B16" s="142" t="b">
        <f>IF('Audit information'!B9=0,"Nil",(IF('Audit information'!B9=1,'Audit information'!B10,(IF('Audit information'!B9=2,(CONCATENATE('Audit information'!B10,'Audit information'!T6,'Audit information'!B11)),(IF('Audit information'!B9=3,(CONCATENATE('Audit information'!B10,'Audit information'!T4,'Audit information'!B11,'Audit information'!T5,'Audit information'!B12)),(IF('Audit information'!B9=4,(CONCATENATE('Audit information'!B10,'Audit information'!T3,'Audit information'!B11,'Audit information'!T4,'Audit information'!B12,'Audit information'!T5,'Audit information'!B13)),(IF('Audit information'!B9=5,(CONCATENATE('Audit information'!B10,'Audit information'!T2,'Audit information'!B11,'Audit information'!T3,'Audit information'!B12,'Audit information'!T4,'Audit information'!B13,'Audit information'!T5,'Audit information'!B14)))))))))))))</f>
        <v>0</v>
      </c>
      <c r="C16" s="142"/>
    </row>
    <row r="17" spans="1:4" ht="21.6" customHeight="1">
      <c r="A17" s="44" t="s">
        <v>161</v>
      </c>
      <c r="B17" s="142" t="str">
        <f>'Audit information'!B6</f>
        <v>&lt;&lt;auditee contact&gt;&gt;</v>
      </c>
      <c r="C17" s="142"/>
    </row>
    <row r="18" spans="1:4" ht="21.6" customHeight="1">
      <c r="A18" s="44"/>
      <c r="B18" s="98"/>
      <c r="C18" s="98"/>
    </row>
    <row r="19" spans="1:4" ht="21.6" customHeight="1" thickBot="1">
      <c r="A19" s="112" t="s">
        <v>177</v>
      </c>
      <c r="B19" s="179" t="s">
        <v>178</v>
      </c>
      <c r="C19" s="179"/>
      <c r="D19" s="14"/>
    </row>
    <row r="20" spans="1:4" ht="35.450000000000003" customHeight="1">
      <c r="A20" s="177" t="str">
        <f>'Audit information'!H18</f>
        <v>Major nonconformances were identified during this audit and will need to be corrected and verified within 90 days of the date of this report.</v>
      </c>
      <c r="B20" s="178"/>
      <c r="C20" s="71" t="str">
        <f>IF('Audit information'!B33&gt;0,'Audit information'!H2,'Audit information'!H3)</f>
        <v>Yes</v>
      </c>
    </row>
    <row r="21" spans="1:4" ht="13.9" customHeight="1">
      <c r="A21" s="173" t="s">
        <v>179</v>
      </c>
      <c r="B21" s="72" t="s">
        <v>180</v>
      </c>
      <c r="C21" s="73" t="str">
        <f>IF($C$20='Audit information'!$H$2,(IF('Audit information'!$B$35='Audit information'!$H$2,'Audit information'!$H$3,'Audit information'!$H$2)),'Audit information'!$H$4)</f>
        <v>Yes</v>
      </c>
    </row>
    <row r="22" spans="1:4" ht="13.9" customHeight="1">
      <c r="A22" s="173"/>
      <c r="B22" s="72" t="str">
        <f>'Audit information'!H19</f>
        <v>at a follow up audit within 90 days of this report.</v>
      </c>
      <c r="C22" s="73" t="str">
        <f>IF($C$20='Audit information'!$H$2,(IF('Audit information'!$B$35='Audit information'!$H$2,'Audit information'!$H$2,'Audit information'!$H$3)),'Audit information'!$H$4)</f>
        <v>No</v>
      </c>
    </row>
    <row r="23" spans="1:4" ht="35.450000000000003" customHeight="1" thickBot="1">
      <c r="A23" s="174" t="s">
        <v>181</v>
      </c>
      <c r="B23" s="175"/>
      <c r="C23" s="74" t="str">
        <f>IF('Audit information'!$B$36&gt;0,'Audit information'!$H$2,'Audit information'!$H$3)</f>
        <v>Yes</v>
      </c>
    </row>
    <row r="24" spans="1:4" ht="21.6" customHeight="1">
      <c r="A24" s="101"/>
      <c r="B24" s="37"/>
      <c r="C24" s="37"/>
    </row>
    <row r="25" spans="1:4" ht="21.6" customHeight="1">
      <c r="A25" s="99" t="s">
        <v>152</v>
      </c>
      <c r="B25" s="143"/>
      <c r="C25" s="143"/>
    </row>
    <row r="26" spans="1:4" ht="21.6" customHeight="1">
      <c r="A26" s="99" t="s">
        <v>153</v>
      </c>
      <c r="B26" s="176" t="s">
        <v>16</v>
      </c>
      <c r="C26" s="176"/>
    </row>
    <row r="27" spans="1:4">
      <c r="A27" s="41"/>
      <c r="B27" s="41"/>
      <c r="C27" s="41"/>
    </row>
    <row r="28" spans="1:4" ht="57" customHeight="1">
      <c r="A28" s="158" t="s">
        <v>182</v>
      </c>
      <c r="B28" s="159"/>
      <c r="C28" s="159"/>
    </row>
    <row r="29" spans="1:4">
      <c r="A29" s="113"/>
      <c r="B29" s="114"/>
      <c r="C29" s="114"/>
    </row>
    <row r="30" spans="1:4">
      <c r="A30" s="158" t="s">
        <v>183</v>
      </c>
      <c r="B30" s="159"/>
      <c r="C30" s="159"/>
    </row>
  </sheetData>
  <mergeCells count="21">
    <mergeCell ref="B12:C12"/>
    <mergeCell ref="B7:C7"/>
    <mergeCell ref="B6:C6"/>
    <mergeCell ref="A20:B20"/>
    <mergeCell ref="A3:C3"/>
    <mergeCell ref="B5:C5"/>
    <mergeCell ref="B9:C9"/>
    <mergeCell ref="B10:C10"/>
    <mergeCell ref="B11:C11"/>
    <mergeCell ref="B13:C13"/>
    <mergeCell ref="B14:C14"/>
    <mergeCell ref="B15:C15"/>
    <mergeCell ref="B16:C16"/>
    <mergeCell ref="B17:C17"/>
    <mergeCell ref="B19:C19"/>
    <mergeCell ref="A21:A22"/>
    <mergeCell ref="A23:B23"/>
    <mergeCell ref="A28:C28"/>
    <mergeCell ref="A30:C30"/>
    <mergeCell ref="B25:C25"/>
    <mergeCell ref="B26:C26"/>
  </mergeCells>
  <conditionalFormatting sqref="A3:C3 B5:C7 B15:C15 B17:C17">
    <cfRule type="containsText" dxfId="5" priority="6" operator="containsText" text="&lt;&lt;">
      <formula>NOT(ISERROR(SEARCH("&lt;&lt;",A3)))</formula>
    </cfRule>
  </conditionalFormatting>
  <conditionalFormatting sqref="B10:C13">
    <cfRule type="containsText" dxfId="4" priority="1" operator="containsText" text="&lt;&lt;">
      <formula>NOT(ISERROR(SEARCH("&lt;&lt;",B10)))</formula>
    </cfRule>
  </conditionalFormatting>
  <conditionalFormatting sqref="B14:C14 B16:C16">
    <cfRule type="containsText" dxfId="3" priority="5" operator="containsText" text="FALSE">
      <formula>NOT(ISERROR(SEARCH("FALSE",B14)))</formula>
    </cfRule>
  </conditionalFormatting>
  <conditionalFormatting sqref="B25:C25">
    <cfRule type="containsBlanks" dxfId="2" priority="4">
      <formula>LEN(TRIM(B25))=0</formula>
    </cfRule>
  </conditionalFormatting>
  <conditionalFormatting sqref="B26:C26">
    <cfRule type="containsText" dxfId="1" priority="3" operator="containsText" text="d/mm/yyyy">
      <formula>NOT(ISERROR(SEARCH("d/mm/yyyy",B26)))</formula>
    </cfRule>
  </conditionalFormatting>
  <pageMargins left="0.7" right="0.7" top="0.75" bottom="0.75" header="0.3" footer="0.3"/>
  <pageSetup paperSize="9" orientation="portrait" verticalDpi="1200" r:id="rId1"/>
  <headerFooter>
    <oddFooter>&amp;L&amp;"Arial,Regular"&amp;8&lt;&lt;footer&gt;&gt;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2"/>
  <sheetViews>
    <sheetView view="pageLayout" topLeftCell="A38" zoomScaleNormal="100" workbookViewId="0">
      <selection activeCell="A101" sqref="A101"/>
    </sheetView>
  </sheetViews>
  <sheetFormatPr defaultColWidth="8.85546875" defaultRowHeight="14.1"/>
  <cols>
    <col min="1" max="1" width="87.28515625" style="12" customWidth="1"/>
    <col min="2" max="16384" width="8.85546875" style="11"/>
  </cols>
  <sheetData>
    <row r="1" spans="1:1" ht="20.100000000000001">
      <c r="A1" s="115" t="s">
        <v>184</v>
      </c>
    </row>
    <row r="2" spans="1:1">
      <c r="A2" s="42"/>
    </row>
    <row r="3" spans="1:1" ht="15.6">
      <c r="A3" s="116" t="s">
        <v>185</v>
      </c>
    </row>
    <row r="4" spans="1:1">
      <c r="A4" s="117"/>
    </row>
    <row r="5" spans="1:1">
      <c r="A5" s="42" t="str">
        <f>IF('Audit information'!$B$33&gt;0,'Audit information'!H22,'Audit information'!$H$11)</f>
        <v>NC01</v>
      </c>
    </row>
    <row r="6" spans="1:1">
      <c r="A6" s="42" t="str">
        <f>IF('Audit information'!$B$33&gt;0,"&lt;&lt;Requirement&gt;&gt;","")</f>
        <v>&lt;&lt;Requirement&gt;&gt;</v>
      </c>
    </row>
    <row r="7" spans="1:1">
      <c r="A7" s="42" t="str">
        <f>IF('Audit information'!$B$33&gt;0,"&lt;&lt;Evidence&gt;&gt;","DELETE ROW")</f>
        <v>&lt;&lt;Evidence&gt;&gt;</v>
      </c>
    </row>
    <row r="8" spans="1:1">
      <c r="A8" s="42" t="str">
        <f>IF(A7="DELETE ROW","DELETE ROW","")</f>
        <v/>
      </c>
    </row>
    <row r="9" spans="1:1">
      <c r="A9" s="42" t="str">
        <f>IF('Audit information'!$B$33&gt;1,'Audit information'!H23,"DELETE ROW")</f>
        <v>NC02</v>
      </c>
    </row>
    <row r="10" spans="1:1">
      <c r="A10" s="42" t="str">
        <f>IF('Audit information'!$B$33&gt;1,"&lt;&lt;Requirement&gt;&gt;","DELETE ROW")</f>
        <v>&lt;&lt;Requirement&gt;&gt;</v>
      </c>
    </row>
    <row r="11" spans="1:1">
      <c r="A11" s="42" t="str">
        <f>IF('Audit information'!$B$33&gt;1,"&lt;&lt;Evidence&gt;&gt;","DELETE ROW")</f>
        <v>&lt;&lt;Evidence&gt;&gt;</v>
      </c>
    </row>
    <row r="12" spans="1:1">
      <c r="A12" s="42" t="str">
        <f>IF(A11="DELETE ROW","DELETE ROW","")</f>
        <v/>
      </c>
    </row>
    <row r="13" spans="1:1">
      <c r="A13" s="42" t="str">
        <f>IF('Audit information'!$B$33&gt;2,'Audit information'!H24,"DELETE ROW")</f>
        <v>NC03</v>
      </c>
    </row>
    <row r="14" spans="1:1">
      <c r="A14" s="42" t="str">
        <f>IF('Audit information'!$B$33&gt;2,"&lt;&lt;Requirement&gt;&gt;","DELETE ROW")</f>
        <v>&lt;&lt;Requirement&gt;&gt;</v>
      </c>
    </row>
    <row r="15" spans="1:1">
      <c r="A15" s="42" t="str">
        <f>IF('Audit information'!$B$33&gt;2,"&lt;&lt;Evidence&gt;&gt;","DELETE ROW")</f>
        <v>&lt;&lt;Evidence&gt;&gt;</v>
      </c>
    </row>
    <row r="16" spans="1:1">
      <c r="A16" s="42" t="str">
        <f>IF(A15="DELETE ROW","DELETE ROW","")</f>
        <v/>
      </c>
    </row>
    <row r="17" spans="1:1">
      <c r="A17" s="42" t="str">
        <f>IF('Audit information'!$B$33&gt;3,'Audit information'!H25,"DELETE ROW")</f>
        <v>NC04</v>
      </c>
    </row>
    <row r="18" spans="1:1">
      <c r="A18" s="42" t="str">
        <f>IF('Audit information'!$B$33&gt;3,"&lt;&lt;Requirement&gt;&gt;","DELETE ROW")</f>
        <v>&lt;&lt;Requirement&gt;&gt;</v>
      </c>
    </row>
    <row r="19" spans="1:1">
      <c r="A19" s="42" t="str">
        <f>IF('Audit information'!$B$33&gt;3,"&lt;&lt;Evidence&gt;&gt;","DELETE ROW")</f>
        <v>&lt;&lt;Evidence&gt;&gt;</v>
      </c>
    </row>
    <row r="20" spans="1:1">
      <c r="A20" s="42" t="str">
        <f>IF(A19="DELETE ROW","DELETE ROW","")</f>
        <v/>
      </c>
    </row>
    <row r="21" spans="1:1">
      <c r="A21" s="42" t="str">
        <f>IF('Audit information'!$B$33&gt;4,'Audit information'!H26,"DELETE ROW")</f>
        <v>NC05</v>
      </c>
    </row>
    <row r="22" spans="1:1">
      <c r="A22" s="42" t="str">
        <f>IF('Audit information'!$B$33&gt;4,"&lt;&lt;Requirement&gt;&gt;","DELETE ROW")</f>
        <v>&lt;&lt;Requirement&gt;&gt;</v>
      </c>
    </row>
    <row r="23" spans="1:1">
      <c r="A23" s="42" t="str">
        <f>IF('Audit information'!$B$33&gt;4,"&lt;&lt;Evidence&gt;&gt;","DELETE ROW")</f>
        <v>&lt;&lt;Evidence&gt;&gt;</v>
      </c>
    </row>
    <row r="24" spans="1:1">
      <c r="A24" s="42" t="str">
        <f>IF(A23="DELETE ROW","DELETE ROW","")</f>
        <v/>
      </c>
    </row>
    <row r="25" spans="1:1" ht="15.6">
      <c r="A25" s="116" t="s">
        <v>186</v>
      </c>
    </row>
    <row r="26" spans="1:1">
      <c r="A26" s="117"/>
    </row>
    <row r="27" spans="1:1">
      <c r="A27" s="42" t="str">
        <f>IF('Audit information'!$B$36&gt;0,(IF('Audit information'!$B$33=0,'Audit information'!$H$22,(IF('Audit information'!$B$33=1,'Audit information'!$H$23,(IF('Audit information'!$B$33=2,'Audit information'!$H$24,(IF('Audit information'!$B$33=3,'Audit information'!$H$25,(IF('Audit information'!$B$33=4,'Audit information'!$H$26,(IF('Audit information'!$B$33=5,'Audit information'!$H$27,"NCXX")))))))))))),'Audit information'!$H$12)</f>
        <v>NCXX</v>
      </c>
    </row>
    <row r="28" spans="1:1">
      <c r="A28" s="42" t="str">
        <f>IF('Audit information'!$B$36&gt;0,"&lt;&lt;Requirement&gt;&gt;","DELETE ROW")</f>
        <v>&lt;&lt;Requirement&gt;&gt;</v>
      </c>
    </row>
    <row r="29" spans="1:1">
      <c r="A29" s="42" t="str">
        <f>IF('Audit information'!$B$36&gt;0,"&lt;&lt;Evidence&gt;&gt;","DELETE ROW")</f>
        <v>&lt;&lt;Evidence&gt;&gt;</v>
      </c>
    </row>
    <row r="30" spans="1:1">
      <c r="A30" s="42" t="str">
        <f>IF(A29="DELETE ROW","DELETE ROW","")</f>
        <v/>
      </c>
    </row>
    <row r="31" spans="1:1">
      <c r="A31" s="42" t="str">
        <f>IF('Audit information'!$B$36&gt;1,(IF('Audit information'!$B$33=0,'Audit information'!$H$23,(IF('Audit information'!$B$33=1,'Audit information'!$H$24,(IF('Audit information'!$B$33=2,'Audit information'!$H$25,(IF('Audit information'!$B$33=3,'Audit information'!$H$26,(IF('Audit information'!$B$33=4,'Audit information'!$H$27,(IF('Audit information'!$B$33=5,'Audit information'!$H$28,"NCXX")))))))))))),"DELETE ROW")</f>
        <v>NCXX</v>
      </c>
    </row>
    <row r="32" spans="1:1">
      <c r="A32" s="42" t="str">
        <f>IF('Audit information'!$B$36&gt;1,"&lt;&lt;Requirement&gt;&gt;","DELETE ROW")</f>
        <v>&lt;&lt;Requirement&gt;&gt;</v>
      </c>
    </row>
    <row r="33" spans="1:1">
      <c r="A33" s="42" t="str">
        <f>IF('Audit information'!$B$36&gt;1,"&lt;&lt;Evidence&gt;&gt;","DELETE ROW")</f>
        <v>&lt;&lt;Evidence&gt;&gt;</v>
      </c>
    </row>
    <row r="34" spans="1:1">
      <c r="A34" s="42" t="str">
        <f>IF(A33="DELETE ROW","DELETE ROW","")</f>
        <v/>
      </c>
    </row>
    <row r="35" spans="1:1">
      <c r="A35" s="42" t="str">
        <f>IF('Audit information'!$B$36&gt;2,(IF('Audit information'!$B$33=0,'Audit information'!$H$24,(IF('Audit information'!$B$33=1,'Audit information'!$H$25,(IF('Audit information'!$B$33=2,'Audit information'!$H$26,(IF('Audit information'!$B$33=3,'Audit information'!$H$27,(IF('Audit information'!$B$33=4,'Audit information'!$H$28,(IF('Audit information'!$B$33=5,'Audit information'!$H$29,"NCXX")))))))))))),"DELETE ROW")</f>
        <v>NCXX</v>
      </c>
    </row>
    <row r="36" spans="1:1">
      <c r="A36" s="42" t="str">
        <f>IF('Audit information'!$B$36&gt;2,"&lt;&lt;Requirement&gt;&gt;","DELETE ROW")</f>
        <v>&lt;&lt;Requirement&gt;&gt;</v>
      </c>
    </row>
    <row r="37" spans="1:1">
      <c r="A37" s="42" t="str">
        <f>IF('Audit information'!$B$36&gt;2,"&lt;&lt;Evidence&gt;&gt;","DELETE ROW")</f>
        <v>&lt;&lt;Evidence&gt;&gt;</v>
      </c>
    </row>
    <row r="38" spans="1:1">
      <c r="A38" s="42" t="str">
        <f>IF(A37="DELETE ROW","DELETE ROW","")</f>
        <v/>
      </c>
    </row>
    <row r="39" spans="1:1">
      <c r="A39" s="42" t="str">
        <f>IF('Audit information'!$B$36&gt;3,(IF('Audit information'!$B$33=0,'Audit information'!$H$25,(IF('Audit information'!$B$33=1,'Audit information'!$H$26,(IF('Audit information'!$B$33=2,'Audit information'!$H$27,(IF('Audit information'!$B$33=3,'Audit information'!$H$28,(IF('Audit information'!$B$33=4,'Audit information'!$H$29,(IF('Audit information'!$B$33=5,'Audit information'!$H$30,"NCXX")))))))))))),"DELETE ROW")</f>
        <v>NCXX</v>
      </c>
    </row>
    <row r="40" spans="1:1">
      <c r="A40" s="42" t="str">
        <f>IF('Audit information'!$B$36&gt;3,"&lt;&lt;Requirement&gt;&gt;","DELETE ROW")</f>
        <v>&lt;&lt;Requirement&gt;&gt;</v>
      </c>
    </row>
    <row r="41" spans="1:1">
      <c r="A41" s="42" t="str">
        <f>IF('Audit information'!$B$36&gt;3,"&lt;&lt;Evidence&gt;&gt;","DELETE ROW")</f>
        <v>&lt;&lt;Evidence&gt;&gt;</v>
      </c>
    </row>
    <row r="42" spans="1:1">
      <c r="A42" s="42" t="str">
        <f>IF(A41="DELETE ROW","DELETE ROW","")</f>
        <v/>
      </c>
    </row>
    <row r="43" spans="1:1">
      <c r="A43" s="42" t="str">
        <f>IF('Audit information'!$B$36&gt;4,(IF('Audit information'!$B$33=0,'Audit information'!$H$26,(IF('Audit information'!$B$33=1,'Audit information'!$H$27,(IF('Audit information'!$B$33=2,'Audit information'!$H$28,(IF('Audit information'!$B$33=3,'Audit information'!$H$29,(IF('Audit information'!$B$33=4,'Audit information'!$H$30,(IF('Audit information'!$B$33=5,'Audit information'!$H$31,"NCXX")))))))))))),"DELETE ROW")</f>
        <v>NCXX</v>
      </c>
    </row>
    <row r="44" spans="1:1">
      <c r="A44" s="42" t="str">
        <f>IF('Audit information'!$B$36&gt;4,"&lt;&lt;Requirement&gt;&gt;","DELETE ROW")</f>
        <v>&lt;&lt;Requirement&gt;&gt;</v>
      </c>
    </row>
    <row r="45" spans="1:1">
      <c r="A45" s="42" t="str">
        <f>IF('Audit information'!$B$36&gt;4,"&lt;&lt;Evidence&gt;&gt;","DELETE ROW")</f>
        <v>&lt;&lt;Evidence&gt;&gt;</v>
      </c>
    </row>
    <row r="46" spans="1:1">
      <c r="A46" s="42" t="str">
        <f>IF(A45="DELETE ROW","DELETE ROW","")</f>
        <v/>
      </c>
    </row>
    <row r="47" spans="1:1">
      <c r="A47" s="42" t="str">
        <f>IF('Audit information'!$B$36&gt;5,(IF('Audit information'!$B$33=0,'Audit information'!$H$27,(IF('Audit information'!$B$33=1,'Audit information'!$H$28,(IF('Audit information'!$B$33=2,'Audit information'!$H$29,(IF('Audit information'!$B$33=3,'Audit information'!$H$30,(IF('Audit information'!$B$33=4,'Audit information'!$H$31,(IF('Audit information'!$B$33=5,'Audit information'!$H$32,"NCXX")))))))))))),"DELETE ROW")</f>
        <v>NCXX</v>
      </c>
    </row>
    <row r="48" spans="1:1">
      <c r="A48" s="42" t="str">
        <f>IF('Audit information'!$B$36&gt;5,"&lt;&lt;Requirement&gt;&gt;","DELETE ROW")</f>
        <v>&lt;&lt;Requirement&gt;&gt;</v>
      </c>
    </row>
    <row r="49" spans="1:1">
      <c r="A49" s="42" t="str">
        <f>IF('Audit information'!$B$36&gt;5,"&lt;&lt;Evidence&gt;&gt;","DELETE ROW")</f>
        <v>&lt;&lt;Evidence&gt;&gt;</v>
      </c>
    </row>
    <row r="50" spans="1:1">
      <c r="A50" s="42" t="str">
        <f>IF(A49="DELETE ROW","DELETE ROW","")</f>
        <v/>
      </c>
    </row>
    <row r="51" spans="1:1">
      <c r="A51" s="42" t="str">
        <f>IF('Audit information'!$B$36&gt;6,(IF('Audit information'!$B$33=0,'Audit information'!$H$28,(IF('Audit information'!$B$33=1,'Audit information'!$H$29,(IF('Audit information'!$B$33=2,'Audit information'!$H$30,(IF('Audit information'!$B$33=3,'Audit information'!$H$31,(IF('Audit information'!$B$33=4,'Audit information'!$H$32,(IF('Audit information'!$B$33=5,'Audit information'!$H$33,"NCXX")))))))))))),"DELETE ROW")</f>
        <v>NCXX</v>
      </c>
    </row>
    <row r="52" spans="1:1">
      <c r="A52" s="42" t="str">
        <f>IF('Audit information'!$B$36&gt;6,"&lt;&lt;Requirement&gt;&gt;","DELETE ROW")</f>
        <v>&lt;&lt;Requirement&gt;&gt;</v>
      </c>
    </row>
    <row r="53" spans="1:1">
      <c r="A53" s="42" t="str">
        <f>IF('Audit information'!$B$36&gt;6,"&lt;&lt;Evidence&gt;&gt;","DELETE ROW")</f>
        <v>&lt;&lt;Evidence&gt;&gt;</v>
      </c>
    </row>
    <row r="54" spans="1:1">
      <c r="A54" s="42" t="str">
        <f>IF(A53="DELETE ROW","DELETE ROW","")</f>
        <v/>
      </c>
    </row>
    <row r="55" spans="1:1">
      <c r="A55" s="42" t="str">
        <f>IF('Audit information'!$B$36&gt;7,(IF('Audit information'!$B$33=0,'Audit information'!$H$29,(IF('Audit information'!$B$33=1,'Audit information'!$H$30,(IF('Audit information'!$B$33=2,'Audit information'!$H$31,(IF('Audit information'!$B$33=3,'Audit information'!$H$32,(IF('Audit information'!$B$33=4,'Audit information'!$H$33,(IF('Audit information'!$B$33=5,'Audit information'!$H$34,"NCXX")))))))))))),"DELETE ROW")</f>
        <v>NCXX</v>
      </c>
    </row>
    <row r="56" spans="1:1">
      <c r="A56" s="42" t="str">
        <f>IF('Audit information'!$B$36&gt;7,"&lt;&lt;Requirement&gt;&gt;","DELETE ROW")</f>
        <v>&lt;&lt;Requirement&gt;&gt;</v>
      </c>
    </row>
    <row r="57" spans="1:1">
      <c r="A57" s="42" t="str">
        <f>IF('Audit information'!$B$36&gt;7,"&lt;&lt;Evidence&gt;&gt;","DELETE ROW")</f>
        <v>&lt;&lt;Evidence&gt;&gt;</v>
      </c>
    </row>
    <row r="58" spans="1:1">
      <c r="A58" s="42" t="str">
        <f>IF(A57="DELETE ROW","DELETE ROW","")</f>
        <v/>
      </c>
    </row>
    <row r="59" spans="1:1">
      <c r="A59" s="42" t="str">
        <f>IF('Audit information'!$B$36&gt;8,(IF('Audit information'!$B$33=0,'Audit information'!$H$30,(IF('Audit information'!$B$33=1,'Audit information'!$H$31,(IF('Audit information'!$B$33=2,'Audit information'!$H$32,(IF('Audit information'!$B$33=3,'Audit information'!$H$33,(IF('Audit information'!$B$33=4,'Audit information'!$H$34,(IF('Audit information'!$B$33=5,'Audit information'!$H$35,"NCXX")))))))))))),"DELETE ROW")</f>
        <v>NCXX</v>
      </c>
    </row>
    <row r="60" spans="1:1">
      <c r="A60" s="42" t="str">
        <f>IF('Audit information'!$B$36&gt;8,"&lt;&lt;Requirement&gt;&gt;","DELETE ROW")</f>
        <v>&lt;&lt;Requirement&gt;&gt;</v>
      </c>
    </row>
    <row r="61" spans="1:1">
      <c r="A61" s="42" t="str">
        <f>IF('Audit information'!$B$36&gt;8,"&lt;&lt;Evidence&gt;&gt;","DELETE ROW")</f>
        <v>&lt;&lt;Evidence&gt;&gt;</v>
      </c>
    </row>
    <row r="62" spans="1:1">
      <c r="A62" s="42" t="str">
        <f>IF(A61="DELETE ROW","DELETE ROW","")</f>
        <v/>
      </c>
    </row>
    <row r="63" spans="1:1">
      <c r="A63" s="42" t="str">
        <f>IF('Audit information'!$B$36&gt;9,(IF('Audit information'!$B$33=0,'Audit information'!$H$31,(IF('Audit information'!$B$33=1,'Audit information'!$H$32,(IF('Audit information'!$B$33=2,'Audit information'!$H$33,(IF('Audit information'!$B$33=3,'Audit information'!$H$34,(IF('Audit information'!$B$33=4,'Audit information'!$H$35,(IF('Audit information'!$B$33=5,'Audit information'!$H$36,"NCXX")))))))))))),"DELETE ROW")</f>
        <v>NCXX</v>
      </c>
    </row>
    <row r="64" spans="1:1">
      <c r="A64" s="42" t="str">
        <f>IF('Audit information'!$B$36&gt;9,"&lt;&lt;Requirement&gt;&gt;","DELETE ROW")</f>
        <v>&lt;&lt;Requirement&gt;&gt;</v>
      </c>
    </row>
    <row r="65" spans="1:1">
      <c r="A65" s="42" t="str">
        <f>IF('Audit information'!$B$36&gt;9,"&lt;&lt;Evidence&gt;&gt;","DELETE ROW")</f>
        <v>&lt;&lt;Evidence&gt;&gt;</v>
      </c>
    </row>
    <row r="66" spans="1:1">
      <c r="A66" s="42" t="str">
        <f>IF(A65="DELETE ROW","DELETE ROW","")</f>
        <v/>
      </c>
    </row>
    <row r="67" spans="1:1">
      <c r="A67" s="42" t="str">
        <f>IF('Audit information'!$B$36&gt;10,(IF('Audit information'!$B$33=0,'Audit information'!$H$32,(IF('Audit information'!$B$33=1,'Audit information'!$H$33,(IF('Audit information'!$B$33=2,'Audit information'!$H$34,(IF('Audit information'!$B$33=3,'Audit information'!$H$35,(IF('Audit information'!$B$33=4,'Audit information'!$H$36,(IF('Audit information'!$B$33=5,'Audit information'!$H$37,"NCXX")))))))))))),"DELETE ROW")</f>
        <v>NCXX</v>
      </c>
    </row>
    <row r="68" spans="1:1">
      <c r="A68" s="42" t="str">
        <f>IF('Audit information'!$B$36&gt;10,"&lt;&lt;Requirement&gt;&gt;","DELETE ROW")</f>
        <v>&lt;&lt;Requirement&gt;&gt;</v>
      </c>
    </row>
    <row r="69" spans="1:1">
      <c r="A69" s="42" t="str">
        <f>IF('Audit information'!$B$36&gt;10,"&lt;&lt;Evidence&gt;&gt;","DELETE ROW")</f>
        <v>&lt;&lt;Evidence&gt;&gt;</v>
      </c>
    </row>
    <row r="70" spans="1:1">
      <c r="A70" s="42" t="str">
        <f>IF(A69="DELETE ROW","DELETE ROW","")</f>
        <v/>
      </c>
    </row>
    <row r="71" spans="1:1">
      <c r="A71" s="42" t="str">
        <f>IF('Audit information'!$B$36&gt;11,(IF('Audit information'!$B$33=0,'Audit information'!$H$33,(IF('Audit information'!$B$33=1,'Audit information'!$H$34,(IF('Audit information'!$B$33=2,'Audit information'!$H$35,(IF('Audit information'!$B$33=3,'Audit information'!$H$36,(IF('Audit information'!$B$33=4,'Audit information'!$H$37,(IF('Audit information'!$B$33=5,'Audit information'!$H$38,"NCXX")))))))))))),"DELETE ROW")</f>
        <v>NCXX</v>
      </c>
    </row>
    <row r="72" spans="1:1">
      <c r="A72" s="42" t="str">
        <f>IF('Audit information'!$B$36&gt;11,"&lt;&lt;Requirement&gt;&gt;","DELETE ROW")</f>
        <v>&lt;&lt;Requirement&gt;&gt;</v>
      </c>
    </row>
    <row r="73" spans="1:1">
      <c r="A73" s="42" t="str">
        <f>IF('Audit information'!$B$36&gt;11,"&lt;&lt;Evidence&gt;&gt;","DELETE ROW")</f>
        <v>&lt;&lt;Evidence&gt;&gt;</v>
      </c>
    </row>
    <row r="74" spans="1:1">
      <c r="A74" s="42" t="str">
        <f>IF(A73="DELETE ROW","DELETE ROW","")</f>
        <v/>
      </c>
    </row>
    <row r="75" spans="1:1">
      <c r="A75" s="42" t="str">
        <f>IF('Audit information'!$B$36&gt;12,(IF('Audit information'!$B$33=0,'Audit information'!$H$34,(IF('Audit information'!$B$33=1,'Audit information'!$H$35,(IF('Audit information'!$B$33=2,'Audit information'!$H$36,(IF('Audit information'!$B$33=3,'Audit information'!$H$37,(IF('Audit information'!$B$33=4,'Audit information'!$H$38,(IF('Audit information'!$B$33=5,'Audit information'!$H$39,"NCXX")))))))))))),"DELETE ROW")</f>
        <v>NCXX</v>
      </c>
    </row>
    <row r="76" spans="1:1">
      <c r="A76" s="42" t="str">
        <f>IF('Audit information'!$B$36&gt;12,"&lt;&lt;Requirement&gt;&gt;","DELETE ROW")</f>
        <v>&lt;&lt;Requirement&gt;&gt;</v>
      </c>
    </row>
    <row r="77" spans="1:1">
      <c r="A77" s="42" t="str">
        <f>IF('Audit information'!$B$36&gt;12,"&lt;&lt;Evidence&gt;&gt;","DELETE ROW")</f>
        <v>&lt;&lt;Evidence&gt;&gt;</v>
      </c>
    </row>
    <row r="78" spans="1:1">
      <c r="A78" s="42" t="str">
        <f>IF(A77="DELETE ROW","DELETE ROW","")</f>
        <v/>
      </c>
    </row>
    <row r="79" spans="1:1">
      <c r="A79" s="42" t="str">
        <f>IF('Audit information'!$B$36&gt;13,(IF('Audit information'!$B$33=0,'Audit information'!$H$35,(IF('Audit information'!$B$33=1,'Audit information'!$H$36,(IF('Audit information'!$B$33=2,'Audit information'!$H$37,(IF('Audit information'!$B$33=3,'Audit information'!$H$38,(IF('Audit information'!$B$33=4,'Audit information'!$H$39,(IF('Audit information'!$B$33=5,'Audit information'!$H$40,"NCXX")))))))))))),"DELETE ROW")</f>
        <v>NCXX</v>
      </c>
    </row>
    <row r="80" spans="1:1">
      <c r="A80" s="42" t="str">
        <f>IF('Audit information'!$B$36&gt;13,"&lt;&lt;Requirement&gt;&gt;","DELETE ROW")</f>
        <v>&lt;&lt;Requirement&gt;&gt;</v>
      </c>
    </row>
    <row r="81" spans="1:1">
      <c r="A81" s="42" t="str">
        <f>IF('Audit information'!$B$36&gt;13,"&lt;&lt;Evidence&gt;&gt;","DELETE ROW")</f>
        <v>&lt;&lt;Evidence&gt;&gt;</v>
      </c>
    </row>
    <row r="82" spans="1:1">
      <c r="A82" s="42" t="str">
        <f>IF(A81="DELETE ROW","DELETE ROW","")</f>
        <v/>
      </c>
    </row>
    <row r="83" spans="1:1">
      <c r="A83" s="42" t="str">
        <f>IF('Audit information'!$B$36&gt;14,(IF('Audit information'!$B$33=0,'Audit information'!$H$36,(IF('Audit information'!$B$33=1,'Audit information'!$H$37,(IF('Audit information'!$B$33=2,'Audit information'!$H$38,(IF('Audit information'!$B$33=3,'Audit information'!$H$39,(IF('Audit information'!$B$33=4,'Audit information'!$H$40,(IF('Audit information'!$B$33=5,'Audit information'!$H$41,"NCXX")))))))))))),"DELETE ROW")</f>
        <v>NCXX</v>
      </c>
    </row>
    <row r="84" spans="1:1">
      <c r="A84" s="42" t="str">
        <f>IF('Audit information'!$B$36&gt;13,"&lt;&lt;Requirement&gt;&gt;","DELETE ROW")</f>
        <v>&lt;&lt;Requirement&gt;&gt;</v>
      </c>
    </row>
    <row r="85" spans="1:1">
      <c r="A85" s="42" t="str">
        <f>IF('Audit information'!$B$36&gt;13,"&lt;&lt;Evidence&gt;&gt;","DELETE ROW")</f>
        <v>&lt;&lt;Evidence&gt;&gt;</v>
      </c>
    </row>
    <row r="86" spans="1:1">
      <c r="A86" s="42"/>
    </row>
    <row r="87" spans="1:1" ht="15.6">
      <c r="A87" s="116" t="str">
        <f>IF('Audit information'!$B$37='Audit information'!$H$2,'Audit information'!A37,"DELETE ROW")</f>
        <v>DELETE ROW</v>
      </c>
    </row>
    <row r="88" spans="1:1" ht="25.5">
      <c r="A88" s="42" t="str">
        <f>IF('Audit information'!$B$37='Audit information'!$H$2,'Audit information'!$H$13,"DELETE ROW")</f>
        <v>DELETE ROW</v>
      </c>
    </row>
    <row r="89" spans="1:1">
      <c r="A89" s="42"/>
    </row>
    <row r="90" spans="1:1">
      <c r="A90" s="42"/>
    </row>
    <row r="91" spans="1:1">
      <c r="A91" s="42"/>
    </row>
    <row r="92" spans="1:1">
      <c r="A92" s="42"/>
    </row>
    <row r="93" spans="1:1">
      <c r="A93" s="42"/>
    </row>
    <row r="94" spans="1:1" ht="15.6">
      <c r="A94" s="116" t="str">
        <f>IF('Audit information'!$B$38='Audit information'!$H$2,'Audit information'!A38,"DELETE ROW")</f>
        <v>DELETE ROW</v>
      </c>
    </row>
    <row r="95" spans="1:1" ht="25.5">
      <c r="A95" s="42" t="str">
        <f>IF('Audit information'!$B$38='Audit information'!$H$2,'Audit information'!H14,"DELETE ROW")</f>
        <v>DELETE ROW</v>
      </c>
    </row>
    <row r="96" spans="1:1">
      <c r="A96" s="42"/>
    </row>
    <row r="97" spans="1:1">
      <c r="A97" s="42"/>
    </row>
    <row r="98" spans="1:1">
      <c r="A98" s="42"/>
    </row>
    <row r="99" spans="1:1">
      <c r="A99" s="42"/>
    </row>
    <row r="100" spans="1:1">
      <c r="A100" s="42"/>
    </row>
    <row r="101" spans="1:1">
      <c r="A101" s="42"/>
    </row>
    <row r="102" spans="1:1">
      <c r="A102" s="42"/>
    </row>
  </sheetData>
  <conditionalFormatting sqref="A1:A1048576">
    <cfRule type="containsText" dxfId="0" priority="1" operator="containsText" text="delete row">
      <formula>NOT(ISERROR(SEARCH("delete row",A1)))</formula>
    </cfRule>
  </conditionalFormatting>
  <pageMargins left="0.7" right="0.7" top="0.75" bottom="0.75" header="0.3" footer="0.3"/>
  <pageSetup paperSize="9" orientation="portrait" verticalDpi="1200" r:id="rId1"/>
  <headerFooter>
    <oddFooter>&amp;L&amp;"Arial,Regular"&amp;8&lt;&lt;footer&gt;&gt;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A5D2AA-6688-4A32-AB8B-363B29550E64}"/>
</file>

<file path=customXml/itemProps2.xml><?xml version="1.0" encoding="utf-8"?>
<ds:datastoreItem xmlns:ds="http://schemas.openxmlformats.org/officeDocument/2006/customXml" ds:itemID="{9B3148AF-4D61-409A-B513-3324AF5F5363}"/>
</file>

<file path=customXml/itemProps3.xml><?xml version="1.0" encoding="utf-8"?>
<ds:datastoreItem xmlns:ds="http://schemas.openxmlformats.org/officeDocument/2006/customXml" ds:itemID="{FCF3A3E4-2B96-4734-8FA8-CCA96E75242F}"/>
</file>

<file path=docProps/app.xml><?xml version="1.0" encoding="utf-8"?>
<Properties xmlns="http://schemas.openxmlformats.org/officeDocument/2006/extended-properties" xmlns:vt="http://schemas.openxmlformats.org/officeDocument/2006/docPropsVTypes">
  <Application>Microsoft Excel Online</Application>
  <Manager/>
  <Company>PricewaterhouseCoopers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Barham</dc:creator>
  <cp:keywords/>
  <dc:description/>
  <cp:lastModifiedBy>Tom Barham</cp:lastModifiedBy>
  <cp:revision/>
  <dcterms:created xsi:type="dcterms:W3CDTF">2016-08-02T08:43:09Z</dcterms:created>
  <dcterms:modified xsi:type="dcterms:W3CDTF">2024-12-05T12:26:43Z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y fmtid="{D5CDD505-2E9C-101B-9397-08002B2CF9AE}" pid="4" name="Order">
    <vt:r8>11200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
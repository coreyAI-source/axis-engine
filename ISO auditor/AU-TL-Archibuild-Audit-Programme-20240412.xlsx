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isktrainingprofessionals.sharepoint.com/sites/RTP/Shared Documents/1. Training Content/1. AU TL/2. Handouts/"/>
    </mc:Choice>
  </mc:AlternateContent>
  <xr:revisionPtr revIDLastSave="0" documentId="8_{1B06DD1A-1EC6-4195-A106-D4BD891865DE}" xr6:coauthVersionLast="47" xr6:coauthVersionMax="47" xr10:uidLastSave="{00000000-0000-0000-0000-000000000000}"/>
  <bookViews>
    <workbookView xWindow="-8760" yWindow="-21600" windowWidth="19380" windowHeight="20970" xr2:uid="{00000000-000D-0000-FFFF-FFFF00000000}"/>
  </bookViews>
  <sheets>
    <sheet name="Audit programme" sheetId="5" r:id="rId1"/>
    <sheet name="Risk inputs" sheetId="2" r:id="rId2"/>
  </sheets>
  <definedNames>
    <definedName name="Importance">'Risk inputs'!$C$7:$C$10</definedName>
    <definedName name="_xlnm.Print_Area" localSheetId="0">'Audit programme'!$A$1:$Y$42</definedName>
    <definedName name="Status">'Risk inputs'!$B$7:$B$10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5" l="1"/>
  <c r="F11" i="5"/>
  <c r="F12" i="5"/>
  <c r="F14" i="5"/>
  <c r="F15" i="5"/>
  <c r="F16" i="5"/>
  <c r="F18" i="5"/>
  <c r="F19" i="5"/>
  <c r="F20" i="5"/>
  <c r="F21" i="5"/>
  <c r="F22" i="5"/>
  <c r="F24" i="5"/>
  <c r="F25" i="5"/>
  <c r="F26" i="5"/>
  <c r="F27" i="5"/>
  <c r="F28" i="5"/>
  <c r="F6" i="5"/>
  <c r="F7" i="5"/>
  <c r="F8" i="5"/>
  <c r="F5" i="5"/>
  <c r="D26" i="5"/>
  <c r="D18" i="5"/>
  <c r="D19" i="5"/>
  <c r="D20" i="5"/>
  <c r="D11" i="5"/>
  <c r="D15" i="5"/>
  <c r="D7" i="5"/>
  <c r="D8" i="5"/>
  <c r="D28" i="5"/>
  <c r="D12" i="5"/>
  <c r="D21" i="5"/>
  <c r="D16" i="5"/>
  <c r="D24" i="5"/>
  <c r="D25" i="5"/>
  <c r="D5" i="5"/>
  <c r="D6" i="5"/>
  <c r="D10" i="5"/>
  <c r="D14" i="5"/>
  <c r="D22" i="5"/>
  <c r="D27" i="5"/>
  <c r="K10" i="2"/>
  <c r="L10" i="2"/>
  <c r="M10" i="2"/>
  <c r="N10" i="2"/>
  <c r="K11" i="2"/>
  <c r="L11" i="2"/>
  <c r="M11" i="2"/>
  <c r="N11" i="2"/>
  <c r="K12" i="2"/>
  <c r="L12" i="2"/>
  <c r="M12" i="2"/>
  <c r="N12" i="2"/>
  <c r="L9" i="2"/>
  <c r="M9" i="2"/>
  <c r="N9" i="2"/>
  <c r="K9" i="2"/>
  <c r="G8" i="5" l="1"/>
  <c r="G7" i="5"/>
  <c r="G18" i="5"/>
  <c r="H18" i="5" s="1"/>
  <c r="G6" i="5"/>
  <c r="H6" i="5" s="1"/>
  <c r="G15" i="5"/>
  <c r="I15" i="5" s="1"/>
  <c r="I7" i="5"/>
  <c r="G27" i="5"/>
  <c r="I27" i="5" s="1"/>
  <c r="G28" i="5"/>
  <c r="I28" i="5" s="1"/>
  <c r="G11" i="5"/>
  <c r="H11" i="5" s="1"/>
  <c r="G19" i="5"/>
  <c r="H19" i="5" s="1"/>
  <c r="G26" i="5"/>
  <c r="I26" i="5" s="1"/>
  <c r="G20" i="5"/>
  <c r="H20" i="5" s="1"/>
  <c r="G16" i="5"/>
  <c r="I16" i="5" s="1"/>
  <c r="G12" i="5"/>
  <c r="H12" i="5" s="1"/>
  <c r="G24" i="5"/>
  <c r="I24" i="5" s="1"/>
  <c r="G22" i="5"/>
  <c r="H22" i="5" s="1"/>
  <c r="G10" i="5"/>
  <c r="H10" i="5" s="1"/>
  <c r="G14" i="5"/>
  <c r="I14" i="5" s="1"/>
  <c r="I8" i="5"/>
  <c r="G25" i="5"/>
  <c r="H25" i="5" s="1"/>
  <c r="G5" i="5"/>
  <c r="I5" i="5" s="1"/>
  <c r="G21" i="5"/>
  <c r="I21" i="5" s="1"/>
  <c r="I18" i="5" l="1"/>
  <c r="H27" i="5"/>
  <c r="I12" i="5"/>
  <c r="H28" i="5"/>
  <c r="H15" i="5"/>
  <c r="I20" i="5"/>
  <c r="I10" i="5"/>
  <c r="I19" i="5"/>
  <c r="H7" i="5"/>
  <c r="I6" i="5"/>
  <c r="H26" i="5"/>
  <c r="I22" i="5"/>
  <c r="I11" i="5"/>
  <c r="H8" i="5"/>
  <c r="H16" i="5"/>
  <c r="H21" i="5"/>
  <c r="H24" i="5"/>
  <c r="H14" i="5"/>
  <c r="I25" i="5"/>
  <c r="H5" i="5"/>
</calcChain>
</file>

<file path=xl/sharedStrings.xml><?xml version="1.0" encoding="utf-8"?>
<sst xmlns="http://schemas.openxmlformats.org/spreadsheetml/2006/main" count="150" uniqueCount="70">
  <si>
    <t>Archibuild Audit Programme</t>
  </si>
  <si>
    <t>Activity</t>
  </si>
  <si>
    <t>Status</t>
  </si>
  <si>
    <t>Importance</t>
  </si>
  <si>
    <t>Risk</t>
  </si>
  <si>
    <t>Freq</t>
  </si>
  <si>
    <t>Location</t>
  </si>
  <si>
    <t>Calendar</t>
  </si>
  <si>
    <t>Who</t>
  </si>
  <si>
    <t>HO</t>
  </si>
  <si>
    <t>Lakeview Lowands</t>
  </si>
  <si>
    <t>Airport Avenue</t>
  </si>
  <si>
    <t>Jumbuck Way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</si>
  <si>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</si>
  <si>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</si>
  <si>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</si>
  <si>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</si>
  <si>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</si>
  <si>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</si>
  <si>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</si>
  <si>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</si>
  <si>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</si>
  <si>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</si>
  <si>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</si>
  <si>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</si>
  <si>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Management</t>
  </si>
  <si>
    <t>Policy</t>
  </si>
  <si>
    <t>Excellent</t>
  </si>
  <si>
    <t>Very</t>
  </si>
  <si>
    <t>D</t>
  </si>
  <si>
    <t>Objectives and Targets</t>
  </si>
  <si>
    <t>Critical</t>
  </si>
  <si>
    <t>Process Map</t>
  </si>
  <si>
    <t>Somewhat</t>
  </si>
  <si>
    <t>Organisation Structure</t>
  </si>
  <si>
    <t>Legal, Hazard and Impact identification and assessment</t>
  </si>
  <si>
    <t>Legal and other requirements</t>
  </si>
  <si>
    <t>OK</t>
  </si>
  <si>
    <t>CA</t>
  </si>
  <si>
    <t>Hazard identification and control</t>
  </si>
  <si>
    <t>Good</t>
  </si>
  <si>
    <t>Environmental aspects and impacts</t>
  </si>
  <si>
    <t>Resources and communication</t>
  </si>
  <si>
    <t>Resources</t>
  </si>
  <si>
    <t>Poor</t>
  </si>
  <si>
    <t>OM</t>
  </si>
  <si>
    <t>Internal communication</t>
  </si>
  <si>
    <t>External communication</t>
  </si>
  <si>
    <t>Management System Processes</t>
  </si>
  <si>
    <t>Document control</t>
  </si>
  <si>
    <t>CM</t>
  </si>
  <si>
    <t>Control of records</t>
  </si>
  <si>
    <t>Internal Audit</t>
  </si>
  <si>
    <t>Control of non-conformances</t>
  </si>
  <si>
    <t>Review and improvement</t>
  </si>
  <si>
    <t>Not very</t>
  </si>
  <si>
    <t>Project Management Processes</t>
  </si>
  <si>
    <t>Tender review and estimating</t>
  </si>
  <si>
    <t>Project resourcing</t>
  </si>
  <si>
    <t>Executing the project</t>
  </si>
  <si>
    <t>Handover</t>
  </si>
  <si>
    <t>Project review</t>
  </si>
  <si>
    <t>Freq.</t>
  </si>
  <si>
    <t>Low</t>
  </si>
  <si>
    <t>critical</t>
  </si>
  <si>
    <t>High</t>
  </si>
  <si>
    <t>moderate</t>
  </si>
  <si>
    <t>low</t>
  </si>
  <si>
    <t>Medium</t>
  </si>
  <si>
    <t>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</si>
</sst>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7"/>
      <color indexed="9"/>
      <name val="Arial"/>
      <family val="2"/>
    </font>
    <font>
      <sz val="11"/>
      <color rgb="FFE0301E"/>
      <name val="Arial"/>
      <family val="2"/>
    </font>
    <font>
      <sz val="18"/>
      <color rgb="FFE0301E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sz val="10"/>
      <color rgb="FFE0301E"/>
      <name val="Arial"/>
      <family val="2"/>
    </font>
    <font>
      <b/>
      <sz val="16"/>
      <color rgb="FF00273E"/>
      <name val="Arial"/>
      <family val="2"/>
    </font>
    <font>
      <sz val="8"/>
      <color theme="0"/>
      <name val="Arial"/>
      <family val="2"/>
    </font>
    <font>
      <b/>
      <sz val="16"/>
      <color theme="0"/>
      <name val="Arial"/>
      <family val="2"/>
    </font>
    <font>
      <sz val="11"/>
      <color theme="0"/>
      <name val="Arial"/>
      <family val="2"/>
    </font>
    <font>
      <sz val="18"/>
      <color theme="0"/>
      <name val="Arial"/>
      <family val="2"/>
    </font>
    <font>
      <b/>
      <sz val="9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288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3" fillId="0" borderId="1" xfId="0" applyFont="1" applyBorder="1"/>
    <xf numFmtId="0" fontId="0" fillId="2" borderId="1" xfId="0" applyFill="1" applyBorder="1" applyAlignment="1" applyProtection="1">
      <alignment textRotation="90"/>
      <protection locked="0"/>
    </xf>
    <xf numFmtId="0" fontId="3" fillId="2" borderId="1" xfId="0" applyFont="1" applyFill="1" applyBorder="1" applyAlignment="1">
      <alignment textRotation="90"/>
    </xf>
    <xf numFmtId="0" fontId="0" fillId="2" borderId="1" xfId="0" applyFill="1" applyBorder="1" applyAlignment="1">
      <alignment textRotation="90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textRotation="90"/>
    </xf>
    <xf numFmtId="0" fontId="0" fillId="2" borderId="1" xfId="0" applyFill="1" applyBorder="1"/>
    <xf numFmtId="0" fontId="4" fillId="2" borderId="1" xfId="0" applyFont="1" applyFill="1" applyBorder="1"/>
    <xf numFmtId="0" fontId="0" fillId="3" borderId="1" xfId="0" applyFill="1" applyBorder="1" applyAlignment="1" applyProtection="1">
      <alignment textRotation="90"/>
      <protection locked="0"/>
    </xf>
    <xf numFmtId="0" fontId="3" fillId="3" borderId="1" xfId="0" applyFont="1" applyFill="1" applyBorder="1" applyAlignment="1">
      <alignment textRotation="90"/>
    </xf>
    <xf numFmtId="0" fontId="0" fillId="3" borderId="1" xfId="0" applyFill="1" applyBorder="1" applyAlignment="1">
      <alignment textRotation="90"/>
    </xf>
    <xf numFmtId="0" fontId="0" fillId="0" borderId="2" xfId="0" applyBorder="1"/>
    <xf numFmtId="0" fontId="0" fillId="3" borderId="1" xfId="0" applyFill="1" applyBorder="1"/>
    <xf numFmtId="0" fontId="0" fillId="3" borderId="0" xfId="0" applyFill="1"/>
    <xf numFmtId="0" fontId="3" fillId="3" borderId="1" xfId="0" applyFont="1" applyFill="1" applyBorder="1"/>
    <xf numFmtId="0" fontId="0" fillId="3" borderId="1" xfId="0" applyFill="1" applyBorder="1" applyProtection="1">
      <protection locked="0"/>
    </xf>
    <xf numFmtId="0" fontId="4" fillId="3" borderId="1" xfId="0" applyFont="1" applyFill="1" applyBorder="1"/>
    <xf numFmtId="0" fontId="3" fillId="3" borderId="1" xfId="0" applyFont="1" applyFill="1" applyBorder="1" applyProtection="1">
      <protection locked="0"/>
    </xf>
    <xf numFmtId="0" fontId="3" fillId="3" borderId="1" xfId="0" applyFont="1" applyFill="1" applyBorder="1" applyAlignment="1" applyProtection="1">
      <alignment textRotation="90"/>
      <protection locked="0"/>
    </xf>
    <xf numFmtId="0" fontId="5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1" xfId="0" applyFont="1" applyFill="1" applyBorder="1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0" fontId="4" fillId="3" borderId="0" xfId="0" applyFont="1" applyFill="1"/>
    <xf numFmtId="0" fontId="0" fillId="3" borderId="0" xfId="0" applyFill="1" applyAlignment="1">
      <alignment textRotation="90"/>
    </xf>
    <xf numFmtId="0" fontId="0" fillId="3" borderId="0" xfId="0" applyFill="1" applyAlignment="1">
      <alignment wrapText="1"/>
    </xf>
    <xf numFmtId="0" fontId="4" fillId="3" borderId="0" xfId="0" applyFont="1" applyFill="1" applyAlignment="1">
      <alignment wrapText="1"/>
    </xf>
    <xf numFmtId="0" fontId="0" fillId="3" borderId="0" xfId="0" applyFill="1" applyBorder="1"/>
    <xf numFmtId="0" fontId="13" fillId="4" borderId="1" xfId="0" applyFont="1" applyFill="1" applyBorder="1" applyAlignment="1">
      <alignment horizontal="left" wrapText="1"/>
    </xf>
    <xf numFmtId="0" fontId="8" fillId="4" borderId="1" xfId="0" applyFont="1" applyFill="1" applyBorder="1"/>
    <xf numFmtId="0" fontId="16" fillId="4" borderId="1" xfId="0" applyFont="1" applyFill="1" applyBorder="1" applyAlignment="1">
      <alignment textRotation="90"/>
    </xf>
    <xf numFmtId="0" fontId="8" fillId="4" borderId="1" xfId="0" applyFont="1" applyFill="1" applyBorder="1" applyAlignment="1">
      <alignment textRotation="90"/>
    </xf>
    <xf numFmtId="0" fontId="8" fillId="5" borderId="1" xfId="0" applyFont="1" applyFill="1" applyBorder="1"/>
    <xf numFmtId="0" fontId="9" fillId="5" borderId="1" xfId="0" applyFont="1" applyFill="1" applyBorder="1"/>
    <xf numFmtId="0" fontId="8" fillId="5" borderId="1" xfId="0" applyFont="1" applyFill="1" applyBorder="1" applyAlignment="1">
      <alignment textRotation="90"/>
    </xf>
    <xf numFmtId="0" fontId="3" fillId="2" borderId="1" xfId="0" applyFont="1" applyFill="1" applyBorder="1" applyAlignment="1" applyProtection="1">
      <alignment textRotation="90"/>
      <protection locked="0"/>
    </xf>
    <xf numFmtId="0" fontId="12" fillId="4" borderId="1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center"/>
    </xf>
    <xf numFmtId="0" fontId="10" fillId="3" borderId="0" xfId="0" applyFont="1" applyFill="1" applyBorder="1" applyAlignment="1">
      <alignment horizontal="center"/>
    </xf>
    <xf numFmtId="0" fontId="11" fillId="3" borderId="0" xfId="0" applyFont="1" applyFill="1" applyBorder="1" applyAlignment="1">
      <alignment horizontal="left" wrapText="1"/>
    </xf>
    <xf numFmtId="0" fontId="0" fillId="4" borderId="1" xfId="0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</cellXfs>
  <cellStyles count="1">
    <cellStyle name="Normal" xfId="0" builtinId="0"/>
  </cellStyles>
  <dxfs count="1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indexed="51"/>
        </patternFill>
      </fill>
    </dxf>
    <dxf>
      <fill>
        <patternFill>
          <bgColor rgb="FFE0301E"/>
        </patternFill>
      </fill>
    </dxf>
    <dxf>
      <fill>
        <patternFill>
          <bgColor rgb="FFE0301E"/>
        </patternFill>
      </fill>
    </dxf>
    <dxf>
      <fill>
        <patternFill>
          <bgColor indexed="51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005288"/>
      <color rgb="FF00273E"/>
      <color rgb="FFE0301E"/>
      <color rgb="FFDC6900"/>
      <color rgb="FFFFB600"/>
      <color rgb="FFA32020"/>
      <color rgb="FF602320"/>
      <color rgb="FFDB536A"/>
      <color rgb="FFF9D5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9"/>
  <sheetViews>
    <sheetView tabSelected="1" zoomScale="115" zoomScaleNormal="115" workbookViewId="0">
      <pane xSplit="1" ySplit="4" topLeftCell="B5" activePane="bottomRight" state="frozen"/>
      <selection pane="bottomRight" activeCell="AA20" sqref="AA20:AA21"/>
      <selection pane="bottomLeft" activeCell="A4" sqref="A4"/>
      <selection pane="topRight" activeCell="B1" sqref="B1"/>
    </sheetView>
  </sheetViews>
  <sheetFormatPr defaultColWidth="8.7109375" defaultRowHeight="12.6"/>
  <cols>
    <col min="1" max="1" width="4.42578125" style="15" bestFit="1" customWidth="1"/>
    <col min="2" max="2" width="32" style="15" customWidth="1"/>
    <col min="3" max="3" width="8.5703125" style="15" bestFit="1" customWidth="1"/>
    <col min="4" max="4" width="2" style="15" hidden="1" customWidth="1"/>
    <col min="5" max="5" width="9.5703125" style="15" bestFit="1" customWidth="1"/>
    <col min="6" max="6" width="2" style="15" hidden="1" customWidth="1"/>
    <col min="7" max="7" width="4.5703125" style="15" hidden="1" customWidth="1"/>
    <col min="8" max="8" width="7.5703125" style="15" bestFit="1" customWidth="1"/>
    <col min="9" max="9" width="4" style="15" customWidth="1"/>
    <col min="10" max="10" width="2.5703125" style="15" customWidth="1"/>
    <col min="11" max="13" width="2.42578125" style="25" customWidth="1"/>
    <col min="14" max="25" width="2.42578125" style="26" customWidth="1"/>
    <col min="26" max="26" width="6.5703125" style="15" customWidth="1"/>
    <col min="27" max="16384" width="8.7109375" style="15"/>
  </cols>
  <sheetData>
    <row r="1" spans="1:26" ht="22.5" customHeight="1">
      <c r="A1" s="29"/>
      <c r="B1" s="42" t="s">
        <v>0</v>
      </c>
      <c r="C1" s="42"/>
      <c r="D1" s="42"/>
      <c r="E1" s="42"/>
      <c r="F1" s="42"/>
      <c r="G1" s="42"/>
      <c r="H1" s="42"/>
      <c r="I1" s="42"/>
      <c r="J1" s="39"/>
      <c r="K1" s="40"/>
      <c r="L1" s="40"/>
      <c r="M1" s="40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29"/>
    </row>
    <row r="2" spans="1:26" ht="22.5" customHeight="1">
      <c r="A2" s="43"/>
      <c r="B2" s="44" t="s">
        <v>1</v>
      </c>
      <c r="C2" s="38" t="s">
        <v>2</v>
      </c>
      <c r="D2" s="30"/>
      <c r="E2" s="38" t="s">
        <v>3</v>
      </c>
      <c r="F2" s="30"/>
      <c r="G2" s="30"/>
      <c r="H2" s="38" t="s">
        <v>4</v>
      </c>
      <c r="I2" s="38" t="s">
        <v>5</v>
      </c>
      <c r="J2" s="45" t="s">
        <v>6</v>
      </c>
      <c r="K2" s="46"/>
      <c r="L2" s="46"/>
      <c r="M2" s="46"/>
      <c r="N2" s="44" t="s">
        <v>7</v>
      </c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38" t="s">
        <v>8</v>
      </c>
    </row>
    <row r="3" spans="1:26" ht="89.1">
      <c r="A3" s="43"/>
      <c r="B3" s="44"/>
      <c r="C3" s="38"/>
      <c r="D3" s="31"/>
      <c r="E3" s="38"/>
      <c r="F3" s="31"/>
      <c r="G3" s="31" t="s">
        <v>4</v>
      </c>
      <c r="H3" s="38"/>
      <c r="I3" s="38"/>
      <c r="J3" s="32" t="s">
        <v>9</v>
      </c>
      <c r="K3" s="32" t="s">
        <v>10</v>
      </c>
      <c r="L3" s="32" t="s">
        <v>11</v>
      </c>
      <c r="M3" s="32" t="s">
        <v>12</v>
      </c>
      <c r="N3" s="33" t="s">
        <v>13</v>
      </c>
      <c r="O3" s="33" t="s">
        <v>14</v>
      </c>
      <c r="P3" s="33" t="s">
        <v>15</v>
      </c>
      <c r="Q3" s="33" t="s">
        <v>16</v>
      </c>
      <c r="R3" s="33" t="s">
        <v>17</v>
      </c>
      <c r="S3" s="33" t="s">
        <v>18</v>
      </c>
      <c r="T3" s="33" t="s">
        <v>19</v>
      </c>
      <c r="U3" s="33" t="s">
        <v>20</v>
      </c>
      <c r="V3" s="33" t="s">
        <v>21</v>
      </c>
      <c r="W3" s="33" t="s">
        <v>22</v>
      </c>
      <c r="X3" s="33" t="s">
        <v>23</v>
      </c>
      <c r="Y3" s="33" t="s">
        <v>24</v>
      </c>
      <c r="Z3" s="38"/>
    </row>
    <row r="4" spans="1:26">
      <c r="A4" s="34">
        <v>100</v>
      </c>
      <c r="B4" s="34" t="s">
        <v>25</v>
      </c>
      <c r="C4" s="34"/>
      <c r="D4" s="34"/>
      <c r="E4" s="34"/>
      <c r="F4" s="34"/>
      <c r="G4" s="34"/>
      <c r="H4" s="34"/>
      <c r="I4" s="34"/>
      <c r="J4" s="34"/>
      <c r="K4" s="35"/>
      <c r="L4" s="35"/>
      <c r="M4" s="35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4"/>
    </row>
    <row r="5" spans="1:26" ht="13.5" customHeight="1">
      <c r="A5" s="14">
        <v>101</v>
      </c>
      <c r="B5" s="16" t="s">
        <v>26</v>
      </c>
      <c r="C5" s="17" t="s">
        <v>27</v>
      </c>
      <c r="D5" s="14">
        <f>IF(C5="Excellent",1,0)+IF(C5="Good",2,0)+IF(C5="OK",3,0)+IF(C5="Poor",4,0)</f>
        <v>1</v>
      </c>
      <c r="E5" s="17" t="s">
        <v>28</v>
      </c>
      <c r="F5" s="14">
        <f>IF(E5="Critical",4,0)+IF(E5="Very",3,0)+IF(E5="Somewhat",2,0)+IF(E5="Not very",1,0)</f>
        <v>3</v>
      </c>
      <c r="G5" s="14">
        <f>D5*F5</f>
        <v>3</v>
      </c>
      <c r="H5" s="14" t="str">
        <f>VLOOKUP(G5,'Risk inputs'!$E$6:$F$21,2)</f>
        <v>Low</v>
      </c>
      <c r="I5" s="14">
        <f>VLOOKUP(G5,'Risk inputs'!$E$6:$G$21,3)</f>
        <v>12</v>
      </c>
      <c r="J5" s="8"/>
      <c r="K5" s="18"/>
      <c r="L5" s="18"/>
      <c r="M5" s="18"/>
      <c r="N5" s="4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4" t="s">
        <v>29</v>
      </c>
    </row>
    <row r="6" spans="1:26">
      <c r="A6" s="14">
        <v>102</v>
      </c>
      <c r="B6" s="16" t="s">
        <v>30</v>
      </c>
      <c r="C6" s="17" t="s">
        <v>27</v>
      </c>
      <c r="D6" s="14">
        <f>IF(C6="Excellent",1,0)+IF(C6="Good",2,0)+IF(C6="OK",3,0)+IF(C6="Poor",4,0)</f>
        <v>1</v>
      </c>
      <c r="E6" s="17" t="s">
        <v>31</v>
      </c>
      <c r="F6" s="14">
        <f t="shared" ref="F6:F28" si="0">IF(E6="Critical",4,0)+IF(E6="Very",3,0)+IF(E6="Somewhat",2,0)+IF(E6="Not very",1,0)</f>
        <v>4</v>
      </c>
      <c r="G6" s="14">
        <f>D6*F6</f>
        <v>4</v>
      </c>
      <c r="H6" s="14" t="str">
        <f>VLOOKUP(G6,'Risk inputs'!$E$6:$F$21,2)</f>
        <v>Medium</v>
      </c>
      <c r="I6" s="14">
        <f>VLOOKUP(G6,'Risk inputs'!$E$6:$G$21,3)</f>
        <v>6</v>
      </c>
      <c r="J6" s="8"/>
      <c r="K6" s="18"/>
      <c r="L6" s="18"/>
      <c r="M6" s="18"/>
      <c r="N6" s="4"/>
      <c r="O6" s="11"/>
      <c r="P6" s="11"/>
      <c r="Q6" s="11"/>
      <c r="R6" s="11"/>
      <c r="S6" s="11"/>
      <c r="T6" s="4"/>
      <c r="U6" s="11"/>
      <c r="V6" s="11"/>
      <c r="W6" s="11"/>
      <c r="X6" s="11"/>
      <c r="Y6" s="11"/>
      <c r="Z6" s="14" t="s">
        <v>29</v>
      </c>
    </row>
    <row r="7" spans="1:26">
      <c r="A7" s="14">
        <v>103</v>
      </c>
      <c r="B7" s="16" t="s">
        <v>32</v>
      </c>
      <c r="C7" s="17" t="s">
        <v>27</v>
      </c>
      <c r="D7" s="14">
        <f>IF(C7="Excellent",1,0)+IF(C7="Good",2,0)+IF(C7="OK",3,0)+IF(C7="Poor",4,0)</f>
        <v>1</v>
      </c>
      <c r="E7" s="17" t="s">
        <v>33</v>
      </c>
      <c r="F7" s="14">
        <f t="shared" si="0"/>
        <v>2</v>
      </c>
      <c r="G7" s="14">
        <f>D7*F7</f>
        <v>2</v>
      </c>
      <c r="H7" s="14" t="str">
        <f>VLOOKUP(G7,'Risk inputs'!$E$6:$F$21,2)</f>
        <v>Low</v>
      </c>
      <c r="I7" s="14">
        <f>VLOOKUP(G7,'Risk inputs'!$E$6:$G$21,3)</f>
        <v>12</v>
      </c>
      <c r="J7" s="8"/>
      <c r="K7" s="18"/>
      <c r="L7" s="18"/>
      <c r="M7" s="18"/>
      <c r="N7" s="4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4" t="s">
        <v>29</v>
      </c>
    </row>
    <row r="8" spans="1:26">
      <c r="A8" s="14">
        <v>104</v>
      </c>
      <c r="B8" s="16" t="s">
        <v>34</v>
      </c>
      <c r="C8" s="17" t="s">
        <v>27</v>
      </c>
      <c r="D8" s="14">
        <f>IF(C8="Excellent",1,0)+IF(C8="Good",2,0)+IF(C8="OK",3,0)+IF(C8="Poor",4,0)</f>
        <v>1</v>
      </c>
      <c r="E8" s="17" t="s">
        <v>28</v>
      </c>
      <c r="F8" s="14">
        <f t="shared" si="0"/>
        <v>3</v>
      </c>
      <c r="G8" s="14">
        <f>D8*F8</f>
        <v>3</v>
      </c>
      <c r="H8" s="14" t="str">
        <f>VLOOKUP(G8,'Risk inputs'!$E$6:$F$21,2)</f>
        <v>Low</v>
      </c>
      <c r="I8" s="14">
        <f>VLOOKUP(G8,'Risk inputs'!$E$6:$G$21,3)</f>
        <v>12</v>
      </c>
      <c r="J8" s="8"/>
      <c r="K8" s="18"/>
      <c r="L8" s="18"/>
      <c r="M8" s="18"/>
      <c r="N8" s="4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4" t="s">
        <v>29</v>
      </c>
    </row>
    <row r="9" spans="1:26">
      <c r="A9" s="34">
        <v>200</v>
      </c>
      <c r="B9" s="34" t="s">
        <v>35</v>
      </c>
      <c r="C9" s="34"/>
      <c r="D9" s="34"/>
      <c r="E9" s="34"/>
      <c r="F9" s="34"/>
      <c r="G9" s="34"/>
      <c r="H9" s="34"/>
      <c r="I9" s="34"/>
      <c r="J9" s="34"/>
      <c r="K9" s="35"/>
      <c r="L9" s="35"/>
      <c r="M9" s="35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4"/>
    </row>
    <row r="10" spans="1:26">
      <c r="A10" s="14">
        <v>201</v>
      </c>
      <c r="B10" s="19" t="s">
        <v>36</v>
      </c>
      <c r="C10" s="17" t="s">
        <v>37</v>
      </c>
      <c r="D10" s="14">
        <f>IF(C10="Excellent",1,0)+IF(C10="Good",2,0)+IF(C10="OK",3,0)+IF(C10="Poor",4,0)</f>
        <v>3</v>
      </c>
      <c r="E10" s="17" t="s">
        <v>31</v>
      </c>
      <c r="F10" s="14">
        <f t="shared" si="0"/>
        <v>4</v>
      </c>
      <c r="G10" s="14">
        <f>D10*F10</f>
        <v>12</v>
      </c>
      <c r="H10" s="14" t="str">
        <f>VLOOKUP(G10,'Risk inputs'!$E$6:$F$21,2)</f>
        <v>High</v>
      </c>
      <c r="I10" s="14">
        <f>VLOOKUP(G10,'Risk inputs'!$E$6:$G$21,3)</f>
        <v>3</v>
      </c>
      <c r="J10" s="8"/>
      <c r="K10" s="18"/>
      <c r="L10" s="18"/>
      <c r="M10" s="18"/>
      <c r="N10" s="37"/>
      <c r="O10" s="10"/>
      <c r="P10" s="10"/>
      <c r="Q10" s="3"/>
      <c r="R10" s="20"/>
      <c r="S10" s="10"/>
      <c r="T10" s="37"/>
      <c r="U10" s="10"/>
      <c r="V10" s="10"/>
      <c r="W10" s="3"/>
      <c r="X10" s="20"/>
      <c r="Y10" s="10"/>
      <c r="Z10" s="14" t="s">
        <v>38</v>
      </c>
    </row>
    <row r="11" spans="1:26">
      <c r="A11" s="14">
        <v>202</v>
      </c>
      <c r="B11" s="19" t="s">
        <v>39</v>
      </c>
      <c r="C11" s="17" t="s">
        <v>40</v>
      </c>
      <c r="D11" s="14">
        <f>IF(C11="Excellent",1,0)+IF(C11="Good",2,0)+IF(C11="OK",3,0)+IF(C11="Poor",4,0)</f>
        <v>2</v>
      </c>
      <c r="E11" s="17" t="s">
        <v>28</v>
      </c>
      <c r="F11" s="14">
        <f t="shared" si="0"/>
        <v>3</v>
      </c>
      <c r="G11" s="14">
        <f>D11*F11</f>
        <v>6</v>
      </c>
      <c r="H11" s="14" t="str">
        <f>VLOOKUP(G11,'Risk inputs'!$E$6:$F$21,2)</f>
        <v>Medium</v>
      </c>
      <c r="I11" s="14">
        <f>VLOOKUP(G11,'Risk inputs'!$E$6:$G$21,3)</f>
        <v>6</v>
      </c>
      <c r="J11" s="8"/>
      <c r="K11" s="9"/>
      <c r="L11" s="9"/>
      <c r="M11" s="9"/>
      <c r="N11" s="20"/>
      <c r="O11" s="3"/>
      <c r="P11" s="10"/>
      <c r="Q11" s="10"/>
      <c r="R11" s="20"/>
      <c r="S11" s="10"/>
      <c r="T11" s="20"/>
      <c r="U11" s="3"/>
      <c r="V11" s="10"/>
      <c r="W11" s="10"/>
      <c r="X11" s="20"/>
      <c r="Y11" s="10"/>
      <c r="Z11" s="14" t="s">
        <v>38</v>
      </c>
    </row>
    <row r="12" spans="1:26">
      <c r="A12" s="14">
        <v>203</v>
      </c>
      <c r="B12" s="16" t="s">
        <v>41</v>
      </c>
      <c r="C12" s="17" t="s">
        <v>27</v>
      </c>
      <c r="D12" s="14">
        <f>IF(C12="Excellent",1,0)+IF(C12="Good",2,0)+IF(C12="OK",3,0)+IF(C12="Poor",4,0)</f>
        <v>1</v>
      </c>
      <c r="E12" s="17" t="s">
        <v>31</v>
      </c>
      <c r="F12" s="14">
        <f t="shared" si="0"/>
        <v>4</v>
      </c>
      <c r="G12" s="14">
        <f>D12*F12</f>
        <v>4</v>
      </c>
      <c r="H12" s="14" t="str">
        <f>VLOOKUP(G12,'Risk inputs'!$E$6:$F$21,2)</f>
        <v>Medium</v>
      </c>
      <c r="I12" s="14">
        <f>VLOOKUP(G12,'Risk inputs'!$E$6:$G$21,3)</f>
        <v>6</v>
      </c>
      <c r="J12" s="8"/>
      <c r="K12" s="9"/>
      <c r="L12" s="9"/>
      <c r="M12" s="9"/>
      <c r="N12" s="20"/>
      <c r="O12" s="10"/>
      <c r="P12" s="3"/>
      <c r="Q12" s="10"/>
      <c r="R12" s="20"/>
      <c r="S12" s="10"/>
      <c r="T12" s="20"/>
      <c r="U12" s="10"/>
      <c r="V12" s="3"/>
      <c r="W12" s="10"/>
      <c r="X12" s="20"/>
      <c r="Y12" s="10"/>
      <c r="Z12" s="14" t="s">
        <v>38</v>
      </c>
    </row>
    <row r="13" spans="1:26">
      <c r="A13" s="34">
        <v>300</v>
      </c>
      <c r="B13" s="34" t="s">
        <v>42</v>
      </c>
      <c r="C13" s="34"/>
      <c r="D13" s="34"/>
      <c r="E13" s="34"/>
      <c r="F13" s="34"/>
      <c r="G13" s="34"/>
      <c r="H13" s="34"/>
      <c r="I13" s="34"/>
      <c r="J13" s="34"/>
      <c r="K13" s="35"/>
      <c r="L13" s="35"/>
      <c r="M13" s="35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4"/>
    </row>
    <row r="14" spans="1:26">
      <c r="A14" s="14">
        <v>301</v>
      </c>
      <c r="B14" s="16" t="s">
        <v>43</v>
      </c>
      <c r="C14" s="17" t="s">
        <v>44</v>
      </c>
      <c r="D14" s="14">
        <f>IF(C14="Excellent",1,0)+IF(C14="Good",2,0)+IF(C14="OK",3,0)+IF(C14="Poor",4,0)</f>
        <v>4</v>
      </c>
      <c r="E14" s="17" t="s">
        <v>31</v>
      </c>
      <c r="F14" s="14">
        <f t="shared" si="0"/>
        <v>4</v>
      </c>
      <c r="G14" s="14">
        <f>D14*F14</f>
        <v>16</v>
      </c>
      <c r="H14" s="14" t="str">
        <f>VLOOKUP(G14,'Risk inputs'!$E$6:$F$21,2)</f>
        <v>High</v>
      </c>
      <c r="I14" s="14">
        <f>VLOOKUP(G14,'Risk inputs'!$E$6:$G$21,3)</f>
        <v>3</v>
      </c>
      <c r="J14" s="8"/>
      <c r="K14" s="21"/>
      <c r="L14" s="21"/>
      <c r="M14" s="21"/>
      <c r="N14" s="37"/>
      <c r="O14" s="10"/>
      <c r="P14" s="10"/>
      <c r="Q14" s="3"/>
      <c r="R14" s="20"/>
      <c r="S14" s="10"/>
      <c r="T14" s="37"/>
      <c r="U14" s="10"/>
      <c r="V14" s="10"/>
      <c r="W14" s="3"/>
      <c r="X14" s="10"/>
      <c r="Y14" s="10"/>
      <c r="Z14" s="14" t="s">
        <v>45</v>
      </c>
    </row>
    <row r="15" spans="1:26">
      <c r="A15" s="14">
        <v>302</v>
      </c>
      <c r="B15" s="16" t="s">
        <v>46</v>
      </c>
      <c r="C15" s="17" t="s">
        <v>40</v>
      </c>
      <c r="D15" s="14">
        <f>IF(C15="Excellent",1,0)+IF(C15="Good",2,0)+IF(C15="OK",3,0)+IF(C15="Poor",4,0)</f>
        <v>2</v>
      </c>
      <c r="E15" s="17" t="s">
        <v>33</v>
      </c>
      <c r="F15" s="14">
        <f t="shared" si="0"/>
        <v>2</v>
      </c>
      <c r="G15" s="14">
        <f>D15*F15</f>
        <v>4</v>
      </c>
      <c r="H15" s="14" t="str">
        <f>VLOOKUP(G15,'Risk inputs'!$E$6:$F$21,2)</f>
        <v>Medium</v>
      </c>
      <c r="I15" s="14">
        <f>VLOOKUP(G15,'Risk inputs'!$E$6:$G$21,3)</f>
        <v>6</v>
      </c>
      <c r="J15" s="6"/>
      <c r="K15" s="22"/>
      <c r="L15" s="22"/>
      <c r="M15" s="22"/>
      <c r="N15" s="20"/>
      <c r="O15" s="3"/>
      <c r="P15" s="10"/>
      <c r="Q15" s="10"/>
      <c r="R15" s="20"/>
      <c r="S15" s="10"/>
      <c r="T15" s="20"/>
      <c r="U15" s="3"/>
      <c r="V15" s="10"/>
      <c r="W15" s="10"/>
      <c r="X15" s="22"/>
      <c r="Y15" s="22"/>
      <c r="Z15" s="14" t="s">
        <v>45</v>
      </c>
    </row>
    <row r="16" spans="1:26">
      <c r="A16" s="14">
        <v>303</v>
      </c>
      <c r="B16" s="19" t="s">
        <v>47</v>
      </c>
      <c r="C16" s="17" t="s">
        <v>40</v>
      </c>
      <c r="D16" s="14">
        <f>IF(C16="Excellent",1,0)+IF(C16="Good",2,0)+IF(C16="OK",3,0)+IF(C16="Poor",4,0)</f>
        <v>2</v>
      </c>
      <c r="E16" s="17" t="s">
        <v>28</v>
      </c>
      <c r="F16" s="14">
        <f t="shared" si="0"/>
        <v>3</v>
      </c>
      <c r="G16" s="14">
        <f>D16*F16</f>
        <v>6</v>
      </c>
      <c r="H16" s="14" t="str">
        <f>VLOOKUP(G16,'Risk inputs'!$E$6:$F$21,2)</f>
        <v>Medium</v>
      </c>
      <c r="I16" s="14">
        <f>VLOOKUP(G16,'Risk inputs'!$E$6:$G$21,3)</f>
        <v>6</v>
      </c>
      <c r="J16" s="8"/>
      <c r="K16" s="18"/>
      <c r="L16" s="18"/>
      <c r="M16" s="18"/>
      <c r="N16" s="20"/>
      <c r="O16" s="10"/>
      <c r="P16" s="3"/>
      <c r="Q16" s="10"/>
      <c r="R16" s="20"/>
      <c r="S16" s="10"/>
      <c r="T16" s="20"/>
      <c r="U16" s="10"/>
      <c r="V16" s="3"/>
      <c r="W16" s="10"/>
      <c r="X16" s="10"/>
      <c r="Y16" s="10"/>
      <c r="Z16" s="14" t="s">
        <v>45</v>
      </c>
    </row>
    <row r="17" spans="1:26">
      <c r="A17" s="34">
        <v>400</v>
      </c>
      <c r="B17" s="34" t="s">
        <v>48</v>
      </c>
      <c r="C17" s="34"/>
      <c r="D17" s="34"/>
      <c r="E17" s="34"/>
      <c r="F17" s="34"/>
      <c r="G17" s="34"/>
      <c r="H17" s="34"/>
      <c r="I17" s="34"/>
      <c r="J17" s="34"/>
      <c r="K17" s="35"/>
      <c r="L17" s="35"/>
      <c r="M17" s="35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4"/>
    </row>
    <row r="18" spans="1:26">
      <c r="A18" s="14">
        <v>401</v>
      </c>
      <c r="B18" s="19" t="s">
        <v>49</v>
      </c>
      <c r="C18" s="17" t="s">
        <v>37</v>
      </c>
      <c r="D18" s="14">
        <f>IF(C18="Excellent",1,0)+IF(C18="Good",2,0)+IF(C18="OK",3,0)+IF(C18="Poor",4,0)</f>
        <v>3</v>
      </c>
      <c r="E18" s="17" t="s">
        <v>31</v>
      </c>
      <c r="F18" s="14">
        <f t="shared" si="0"/>
        <v>4</v>
      </c>
      <c r="G18" s="14">
        <f>D18*F18</f>
        <v>12</v>
      </c>
      <c r="H18" s="14" t="str">
        <f>VLOOKUP(G18,'Risk inputs'!$E$6:$F$21,2)</f>
        <v>High</v>
      </c>
      <c r="I18" s="14">
        <f>VLOOKUP(G18,'Risk inputs'!$E$6:$G$21,3)</f>
        <v>3</v>
      </c>
      <c r="J18" s="6"/>
      <c r="K18" s="6"/>
      <c r="L18" s="6"/>
      <c r="M18" s="6"/>
      <c r="N18" s="37"/>
      <c r="O18" s="10"/>
      <c r="P18" s="10"/>
      <c r="Q18" s="3"/>
      <c r="R18" s="20"/>
      <c r="S18" s="10"/>
      <c r="T18" s="37"/>
      <c r="U18" s="10"/>
      <c r="V18" s="10"/>
      <c r="W18" s="3"/>
      <c r="X18" s="22"/>
      <c r="Y18" s="22"/>
      <c r="Z18" s="14" t="s">
        <v>50</v>
      </c>
    </row>
    <row r="19" spans="1:26">
      <c r="A19" s="14">
        <v>402</v>
      </c>
      <c r="B19" s="19" t="s">
        <v>51</v>
      </c>
      <c r="C19" s="17" t="s">
        <v>40</v>
      </c>
      <c r="D19" s="14">
        <f>IF(C19="Excellent",1,0)+IF(C19="Good",2,0)+IF(C19="OK",3,0)+IF(C19="Poor",4,0)</f>
        <v>2</v>
      </c>
      <c r="E19" s="17" t="s">
        <v>28</v>
      </c>
      <c r="F19" s="14">
        <f t="shared" si="0"/>
        <v>3</v>
      </c>
      <c r="G19" s="14">
        <f>D19*F19</f>
        <v>6</v>
      </c>
      <c r="H19" s="14" t="str">
        <f>VLOOKUP(G19,'Risk inputs'!$E$6:$F$21,2)</f>
        <v>Medium</v>
      </c>
      <c r="I19" s="14">
        <f>VLOOKUP(G19,'Risk inputs'!$E$6:$G$21,3)</f>
        <v>6</v>
      </c>
      <c r="J19" s="6"/>
      <c r="K19" s="6"/>
      <c r="L19" s="6"/>
      <c r="M19" s="6"/>
      <c r="N19" s="20"/>
      <c r="O19" s="3"/>
      <c r="P19" s="10"/>
      <c r="Q19" s="10"/>
      <c r="R19" s="20"/>
      <c r="S19" s="10"/>
      <c r="T19" s="20"/>
      <c r="U19" s="3"/>
      <c r="V19" s="10"/>
      <c r="W19" s="10"/>
      <c r="X19" s="22"/>
      <c r="Y19" s="22"/>
      <c r="Z19" s="14" t="s">
        <v>50</v>
      </c>
    </row>
    <row r="20" spans="1:26">
      <c r="A20" s="14">
        <v>403</v>
      </c>
      <c r="B20" s="19" t="s">
        <v>52</v>
      </c>
      <c r="C20" s="17" t="s">
        <v>37</v>
      </c>
      <c r="D20" s="14">
        <f>IF(C20="Excellent",1,0)+IF(C20="Good",2,0)+IF(C20="OK",3,0)+IF(C20="Poor",4,0)</f>
        <v>3</v>
      </c>
      <c r="E20" s="17" t="s">
        <v>33</v>
      </c>
      <c r="F20" s="14">
        <f t="shared" si="0"/>
        <v>2</v>
      </c>
      <c r="G20" s="14">
        <f>D20*F20</f>
        <v>6</v>
      </c>
      <c r="H20" s="14" t="str">
        <f>VLOOKUP(G20,'Risk inputs'!$E$6:$F$21,2)</f>
        <v>Medium</v>
      </c>
      <c r="I20" s="14">
        <f>VLOOKUP(G20,'Risk inputs'!$E$6:$G$21,3)</f>
        <v>6</v>
      </c>
      <c r="J20" s="6"/>
      <c r="K20" s="6"/>
      <c r="L20" s="6"/>
      <c r="M20" s="6"/>
      <c r="N20" s="20"/>
      <c r="O20" s="10"/>
      <c r="P20" s="3"/>
      <c r="Q20" s="10"/>
      <c r="R20" s="20"/>
      <c r="S20" s="10"/>
      <c r="T20" s="20"/>
      <c r="U20" s="10"/>
      <c r="V20" s="3"/>
      <c r="W20" s="10"/>
      <c r="X20" s="22"/>
      <c r="Y20" s="22"/>
      <c r="Z20" s="14" t="s">
        <v>50</v>
      </c>
    </row>
    <row r="21" spans="1:26">
      <c r="A21" s="14">
        <v>404</v>
      </c>
      <c r="B21" s="19" t="s">
        <v>53</v>
      </c>
      <c r="C21" s="17" t="s">
        <v>40</v>
      </c>
      <c r="D21" s="14">
        <f>IF(C21="Excellent",1,0)+IF(C21="Good",2,0)+IF(C21="OK",3,0)+IF(C21="Poor",4,0)</f>
        <v>2</v>
      </c>
      <c r="E21" s="17" t="s">
        <v>33</v>
      </c>
      <c r="F21" s="14">
        <f t="shared" si="0"/>
        <v>2</v>
      </c>
      <c r="G21" s="14">
        <f>D21*F21</f>
        <v>4</v>
      </c>
      <c r="H21" s="14" t="str">
        <f>VLOOKUP(G21,'Risk inputs'!$E$6:$F$21,2)</f>
        <v>Medium</v>
      </c>
      <c r="I21" s="14">
        <f>VLOOKUP(G21,'Risk inputs'!$E$6:$G$21,3)</f>
        <v>6</v>
      </c>
      <c r="J21" s="8"/>
      <c r="K21" s="9"/>
      <c r="L21" s="9"/>
      <c r="M21" s="9"/>
      <c r="N21" s="12"/>
      <c r="O21" s="12"/>
      <c r="P21" s="12"/>
      <c r="Q21" s="14"/>
      <c r="R21" s="7"/>
      <c r="S21" s="11"/>
      <c r="T21" s="12"/>
      <c r="U21" s="12"/>
      <c r="V21" s="14"/>
      <c r="W21" s="12"/>
      <c r="X21" s="5"/>
      <c r="Y21" s="12"/>
      <c r="Z21" s="14" t="s">
        <v>50</v>
      </c>
    </row>
    <row r="22" spans="1:26">
      <c r="A22" s="14">
        <v>405</v>
      </c>
      <c r="B22" s="19" t="s">
        <v>54</v>
      </c>
      <c r="C22" s="17" t="s">
        <v>40</v>
      </c>
      <c r="D22" s="14">
        <f>IF(C22="Excellent",1,0)+IF(C22="Good",2,0)+IF(C22="OK",3,0)+IF(C22="Poor",4,0)</f>
        <v>2</v>
      </c>
      <c r="E22" s="17" t="s">
        <v>55</v>
      </c>
      <c r="F22" s="14">
        <f t="shared" si="0"/>
        <v>1</v>
      </c>
      <c r="G22" s="14">
        <f>D22*F22</f>
        <v>2</v>
      </c>
      <c r="H22" s="14" t="str">
        <f>VLOOKUP(G22,'Risk inputs'!$E$6:$F$21,2)</f>
        <v>Low</v>
      </c>
      <c r="I22" s="14">
        <f>VLOOKUP(G22,'Risk inputs'!$E$6:$G$21,3)</f>
        <v>12</v>
      </c>
      <c r="J22" s="8"/>
      <c r="K22" s="9"/>
      <c r="L22" s="9"/>
      <c r="M22" s="9"/>
      <c r="N22" s="12"/>
      <c r="O22" s="12"/>
      <c r="P22" s="12"/>
      <c r="Q22" s="12"/>
      <c r="R22" s="12"/>
      <c r="S22" s="11"/>
      <c r="T22" s="5"/>
      <c r="U22" s="12"/>
      <c r="V22" s="12"/>
      <c r="W22" s="12"/>
      <c r="X22" s="12"/>
      <c r="Y22" s="12"/>
      <c r="Z22" s="14" t="s">
        <v>50</v>
      </c>
    </row>
    <row r="23" spans="1:26">
      <c r="A23" s="34">
        <v>500</v>
      </c>
      <c r="B23" s="34" t="s">
        <v>56</v>
      </c>
      <c r="C23" s="34"/>
      <c r="D23" s="34"/>
      <c r="E23" s="34"/>
      <c r="F23" s="34"/>
      <c r="G23" s="34"/>
      <c r="H23" s="34"/>
      <c r="I23" s="34"/>
      <c r="J23" s="34"/>
      <c r="K23" s="35"/>
      <c r="L23" s="35"/>
      <c r="M23" s="35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4"/>
    </row>
    <row r="24" spans="1:26">
      <c r="A24" s="14">
        <v>501</v>
      </c>
      <c r="B24" s="19" t="s">
        <v>57</v>
      </c>
      <c r="C24" s="17" t="s">
        <v>40</v>
      </c>
      <c r="D24" s="14">
        <f>IF(C24="Excellent",1,0)+IF(C24="Good",2,0)+IF(C24="OK",3,0)+IF(C24="Poor",4,0)</f>
        <v>2</v>
      </c>
      <c r="E24" s="17" t="s">
        <v>31</v>
      </c>
      <c r="F24" s="14">
        <f t="shared" si="0"/>
        <v>4</v>
      </c>
      <c r="G24" s="14">
        <f>D24*F24</f>
        <v>8</v>
      </c>
      <c r="H24" s="14" t="str">
        <f>VLOOKUP(G24,'Risk inputs'!$E$6:$F$21,2)</f>
        <v>Medium</v>
      </c>
      <c r="I24" s="14">
        <f>VLOOKUP(G24,'Risk inputs'!$E$6:$G$21,3)</f>
        <v>6</v>
      </c>
      <c r="J24" s="14"/>
      <c r="K24" s="9"/>
      <c r="L24" s="9"/>
      <c r="M24" s="9"/>
      <c r="N24" s="5"/>
      <c r="O24" s="12"/>
      <c r="P24" s="12"/>
      <c r="Q24" s="12"/>
      <c r="R24" s="12"/>
      <c r="S24" s="11"/>
      <c r="T24" s="5"/>
      <c r="U24" s="12"/>
      <c r="V24" s="12"/>
      <c r="W24" s="12"/>
      <c r="X24" s="12"/>
      <c r="Y24" s="12"/>
      <c r="Z24" s="14" t="s">
        <v>38</v>
      </c>
    </row>
    <row r="25" spans="1:26">
      <c r="A25" s="14">
        <v>502</v>
      </c>
      <c r="B25" s="19" t="s">
        <v>58</v>
      </c>
      <c r="C25" s="17" t="s">
        <v>40</v>
      </c>
      <c r="D25" s="14">
        <f>IF(C25="Excellent",1,0)+IF(C25="Good",2,0)+IF(C25="OK",3,0)+IF(C25="Poor",4,0)</f>
        <v>2</v>
      </c>
      <c r="E25" s="17" t="s">
        <v>33</v>
      </c>
      <c r="F25" s="14">
        <f t="shared" si="0"/>
        <v>2</v>
      </c>
      <c r="G25" s="14">
        <f>D25*F25</f>
        <v>4</v>
      </c>
      <c r="H25" s="14" t="str">
        <f>VLOOKUP(G25,'Risk inputs'!$E$6:$F$21,2)</f>
        <v>Medium</v>
      </c>
      <c r="I25" s="14">
        <f>VLOOKUP(G25,'Risk inputs'!$E$6:$G$21,3)</f>
        <v>6</v>
      </c>
      <c r="J25" s="14"/>
      <c r="K25" s="9"/>
      <c r="L25" s="9"/>
      <c r="M25" s="9"/>
      <c r="N25" s="12"/>
      <c r="O25" s="5"/>
      <c r="P25" s="12"/>
      <c r="Q25" s="12"/>
      <c r="R25" s="12"/>
      <c r="S25" s="11"/>
      <c r="T25" s="12"/>
      <c r="U25" s="5"/>
      <c r="V25" s="12"/>
      <c r="W25" s="12"/>
      <c r="X25" s="12"/>
      <c r="Y25" s="12"/>
      <c r="Z25" s="14" t="s">
        <v>38</v>
      </c>
    </row>
    <row r="26" spans="1:26">
      <c r="A26" s="14">
        <v>503</v>
      </c>
      <c r="B26" s="19" t="s">
        <v>59</v>
      </c>
      <c r="C26" s="17" t="s">
        <v>40</v>
      </c>
      <c r="D26" s="14">
        <f>IF(C26="Excellent",1,0)+IF(C26="Good",2,0)+IF(C26="OK",3,0)+IF(C26="Poor",4,0)</f>
        <v>2</v>
      </c>
      <c r="E26" s="17" t="s">
        <v>31</v>
      </c>
      <c r="F26" s="14">
        <f t="shared" si="0"/>
        <v>4</v>
      </c>
      <c r="G26" s="14">
        <f>D26*F26</f>
        <v>8</v>
      </c>
      <c r="H26" s="14" t="str">
        <f>VLOOKUP(G26,'Risk inputs'!$E$6:$F$21,2)</f>
        <v>Medium</v>
      </c>
      <c r="I26" s="14">
        <f>VLOOKUP(G26,'Risk inputs'!$E$6:$G$21,3)</f>
        <v>6</v>
      </c>
      <c r="J26" s="14"/>
      <c r="K26" s="9"/>
      <c r="L26" s="9"/>
      <c r="M26" s="9"/>
      <c r="N26" s="12"/>
      <c r="O26" s="12"/>
      <c r="P26" s="5"/>
      <c r="Q26" s="12"/>
      <c r="R26" s="12"/>
      <c r="S26" s="11"/>
      <c r="T26" s="12"/>
      <c r="U26" s="12"/>
      <c r="V26" s="5"/>
      <c r="W26" s="12"/>
      <c r="X26" s="12"/>
      <c r="Y26" s="12"/>
      <c r="Z26" s="14" t="s">
        <v>38</v>
      </c>
    </row>
    <row r="27" spans="1:26" ht="12.75" customHeight="1">
      <c r="A27" s="14">
        <v>504</v>
      </c>
      <c r="B27" s="23" t="s">
        <v>60</v>
      </c>
      <c r="C27" s="17" t="s">
        <v>37</v>
      </c>
      <c r="D27" s="14">
        <f>IF(C27="Excellent",1,0)+IF(C27="Good",2,0)+IF(C27="OK",3,0)+IF(C27="Poor",4,0)</f>
        <v>3</v>
      </c>
      <c r="E27" s="17" t="s">
        <v>31</v>
      </c>
      <c r="F27" s="14">
        <f t="shared" si="0"/>
        <v>4</v>
      </c>
      <c r="G27" s="14">
        <f>D27*F27</f>
        <v>12</v>
      </c>
      <c r="H27" s="14" t="str">
        <f>VLOOKUP(G27,'Risk inputs'!$E$6:$F$21,2)</f>
        <v>High</v>
      </c>
      <c r="I27" s="14">
        <f>VLOOKUP(G27,'Risk inputs'!$E$6:$G$21,3)</f>
        <v>3</v>
      </c>
      <c r="J27" s="14"/>
      <c r="K27" s="9"/>
      <c r="L27" s="9"/>
      <c r="M27" s="9"/>
      <c r="N27" s="3"/>
      <c r="O27" s="10"/>
      <c r="P27" s="10"/>
      <c r="Q27" s="3"/>
      <c r="R27" s="10"/>
      <c r="S27" s="20"/>
      <c r="T27" s="3"/>
      <c r="U27" s="10"/>
      <c r="V27" s="10"/>
      <c r="W27" s="3"/>
      <c r="X27" s="10"/>
      <c r="Y27" s="10"/>
      <c r="Z27" s="14" t="s">
        <v>38</v>
      </c>
    </row>
    <row r="28" spans="1:26" ht="12.75" customHeight="1">
      <c r="A28" s="14">
        <v>505</v>
      </c>
      <c r="B28" s="23" t="s">
        <v>61</v>
      </c>
      <c r="C28" s="17" t="s">
        <v>37</v>
      </c>
      <c r="D28" s="14">
        <f>IF(C28="Excellent",1,0)+IF(C28="Good",2,0)+IF(C28="OK",3,0)+IF(C28="Poor",4,0)</f>
        <v>3</v>
      </c>
      <c r="E28" s="17" t="s">
        <v>55</v>
      </c>
      <c r="F28" s="14">
        <f t="shared" si="0"/>
        <v>1</v>
      </c>
      <c r="G28" s="14">
        <f>D28*F28</f>
        <v>3</v>
      </c>
      <c r="H28" s="14" t="str">
        <f>VLOOKUP(G28,'Risk inputs'!$E$6:$F$21,2)</f>
        <v>Low</v>
      </c>
      <c r="I28" s="14">
        <f>VLOOKUP(G28,'Risk inputs'!$E$6:$G$21,3)</f>
        <v>12</v>
      </c>
      <c r="J28" s="14"/>
      <c r="K28" s="9"/>
      <c r="L28" s="9"/>
      <c r="M28" s="9"/>
      <c r="N28" s="10"/>
      <c r="O28" s="10"/>
      <c r="P28" s="10"/>
      <c r="Q28" s="10"/>
      <c r="R28" s="10"/>
      <c r="S28" s="20"/>
      <c r="T28" s="10"/>
      <c r="U28" s="10"/>
      <c r="V28" s="10"/>
      <c r="W28" s="10"/>
      <c r="X28" s="3"/>
      <c r="Y28" s="10"/>
      <c r="Z28" s="14" t="s">
        <v>38</v>
      </c>
    </row>
    <row r="30" spans="1:26">
      <c r="B30" s="24"/>
    </row>
    <row r="31" spans="1:26">
      <c r="B31" s="24"/>
    </row>
    <row r="32" spans="1:26">
      <c r="B32" s="24"/>
    </row>
    <row r="33" spans="2:2">
      <c r="B33" s="24"/>
    </row>
    <row r="34" spans="2:2">
      <c r="B34" s="24"/>
    </row>
    <row r="35" spans="2:2">
      <c r="B35" s="24"/>
    </row>
    <row r="36" spans="2:2">
      <c r="B36" s="24"/>
    </row>
    <row r="37" spans="2:2">
      <c r="B37" s="24"/>
    </row>
    <row r="38" spans="2:2">
      <c r="B38" s="24"/>
    </row>
    <row r="39" spans="2:2">
      <c r="B39" s="24"/>
    </row>
    <row r="40" spans="2:2">
      <c r="B40" s="24"/>
    </row>
    <row r="41" spans="2:2">
      <c r="B41" s="24"/>
    </row>
    <row r="42" spans="2:2">
      <c r="B42" s="24"/>
    </row>
    <row r="59" spans="2:13">
      <c r="B59" s="27"/>
      <c r="E59" s="27"/>
      <c r="F59" s="27"/>
      <c r="G59" s="27"/>
      <c r="H59" s="27"/>
      <c r="I59" s="27"/>
      <c r="J59" s="27"/>
      <c r="K59" s="28"/>
      <c r="L59" s="28"/>
      <c r="M59" s="28"/>
    </row>
  </sheetData>
  <sheetProtection formatCells="0" selectLockedCells="1"/>
  <mergeCells count="12">
    <mergeCell ref="Z2:Z3"/>
    <mergeCell ref="J1:M1"/>
    <mergeCell ref="N1:Y1"/>
    <mergeCell ref="B1:I1"/>
    <mergeCell ref="A2:A3"/>
    <mergeCell ref="B2:B3"/>
    <mergeCell ref="C2:C3"/>
    <mergeCell ref="E2:E3"/>
    <mergeCell ref="H2:H3"/>
    <mergeCell ref="I2:I3"/>
    <mergeCell ref="J2:M2"/>
    <mergeCell ref="N2:Y2"/>
  </mergeCells>
  <phoneticPr fontId="2" type="noConversion"/>
  <conditionalFormatting sqref="G5:G8 G50:G55 G10:G12 G14:G16 G18:G22 G24:G28">
    <cfRule type="cellIs" dxfId="14" priority="1" stopIfTrue="1" operator="between">
      <formula>1</formula>
      <formula>3</formula>
    </cfRule>
    <cfRule type="cellIs" dxfId="13" priority="2" stopIfTrue="1" operator="between">
      <formula>4</formula>
      <formula>10</formula>
    </cfRule>
    <cfRule type="cellIs" dxfId="12" priority="3" stopIfTrue="1" operator="between">
      <formula>11</formula>
      <formula>16</formula>
    </cfRule>
  </conditionalFormatting>
  <conditionalFormatting sqref="H5:H8 H50:H55 H10:H12 H14:H16 H18:H22 H24:H28">
    <cfRule type="expression" dxfId="11" priority="4" stopIfTrue="1">
      <formula>NOT(ISERROR(SEARCH("High",H5)))</formula>
    </cfRule>
    <cfRule type="expression" dxfId="10" priority="5" stopIfTrue="1">
      <formula>NOT(ISERROR(SEARCH("Medium",H5)))</formula>
    </cfRule>
    <cfRule type="expression" dxfId="9" priority="6" stopIfTrue="1">
      <formula>NOT(ISERROR(SEARCH("Low",H5)))</formula>
    </cfRule>
  </conditionalFormatting>
  <dataValidations count="2">
    <dataValidation type="list" allowBlank="1" showInputMessage="1" showErrorMessage="1" sqref="C50:C55 C5:C28" xr:uid="{00000000-0002-0000-0000-000000000000}">
      <formula1>Status</formula1>
    </dataValidation>
    <dataValidation type="list" allowBlank="1" showInputMessage="1" showErrorMessage="1" sqref="E50:E55 E5:E28 F9 F13 F17 F23" xr:uid="{00000000-0002-0000-0000-000001000000}">
      <formula1>Importance</formula1>
    </dataValidation>
  </dataValidations>
  <pageMargins left="0.15748031496062992" right="0.15748031496062992" top="0.23622047244094491" bottom="0.19685039370078741" header="0.15748031496062992" footer="0.15748031496062992"/>
  <pageSetup paperSize="9" orientation="landscape" r:id="rId1"/>
  <headerFooter alignWithMargins="0">
    <oddFooter>&amp;LMA 4001&amp;RVersion 1
06/05/11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N21"/>
  <sheetViews>
    <sheetView workbookViewId="0">
      <selection activeCell="O26" sqref="O26"/>
    </sheetView>
  </sheetViews>
  <sheetFormatPr defaultRowHeight="12.6"/>
  <cols>
    <col min="3" max="3" width="10.140625" bestFit="1" customWidth="1"/>
  </cols>
  <sheetData>
    <row r="5" spans="2:14">
      <c r="E5" s="2" t="s">
        <v>4</v>
      </c>
      <c r="F5" s="2" t="s">
        <v>4</v>
      </c>
      <c r="G5" s="2" t="s">
        <v>62</v>
      </c>
    </row>
    <row r="6" spans="2:14">
      <c r="B6" s="1" t="s">
        <v>2</v>
      </c>
      <c r="C6" s="1" t="s">
        <v>3</v>
      </c>
      <c r="E6" s="1">
        <v>1</v>
      </c>
      <c r="F6" s="2" t="s">
        <v>63</v>
      </c>
      <c r="G6" s="1">
        <v>12</v>
      </c>
      <c r="K6" t="s">
        <v>3</v>
      </c>
    </row>
    <row r="7" spans="2:14">
      <c r="B7" s="1" t="s">
        <v>27</v>
      </c>
      <c r="C7" s="1" t="s">
        <v>31</v>
      </c>
      <c r="E7" s="1">
        <v>2</v>
      </c>
      <c r="F7" s="2" t="s">
        <v>63</v>
      </c>
      <c r="G7" s="1">
        <v>12</v>
      </c>
      <c r="K7" s="1" t="s">
        <v>64</v>
      </c>
      <c r="L7" s="1" t="s">
        <v>65</v>
      </c>
      <c r="M7" s="1" t="s">
        <v>66</v>
      </c>
      <c r="N7" s="1" t="s">
        <v>67</v>
      </c>
    </row>
    <row r="8" spans="2:14">
      <c r="B8" s="1" t="s">
        <v>40</v>
      </c>
      <c r="C8" s="1" t="s">
        <v>28</v>
      </c>
      <c r="E8" s="1">
        <v>3</v>
      </c>
      <c r="F8" s="2" t="s">
        <v>63</v>
      </c>
      <c r="G8" s="1">
        <v>12</v>
      </c>
      <c r="I8" t="s">
        <v>2</v>
      </c>
      <c r="K8" s="1">
        <v>4</v>
      </c>
      <c r="L8" s="1">
        <v>3</v>
      </c>
      <c r="M8" s="1">
        <v>2</v>
      </c>
      <c r="N8" s="1">
        <v>1</v>
      </c>
    </row>
    <row r="9" spans="2:14">
      <c r="B9" s="1" t="s">
        <v>37</v>
      </c>
      <c r="C9" s="1" t="s">
        <v>33</v>
      </c>
      <c r="E9" s="1">
        <v>4</v>
      </c>
      <c r="F9" s="2" t="s">
        <v>68</v>
      </c>
      <c r="G9" s="1">
        <v>6</v>
      </c>
      <c r="I9" s="1" t="s">
        <v>27</v>
      </c>
      <c r="J9" s="13">
        <v>1</v>
      </c>
      <c r="K9" s="1">
        <f>K$8*$J9</f>
        <v>4</v>
      </c>
      <c r="L9" s="1">
        <f t="shared" ref="L9:N12" si="0">L$8*$J9</f>
        <v>3</v>
      </c>
      <c r="M9" s="1">
        <f t="shared" si="0"/>
        <v>2</v>
      </c>
      <c r="N9" s="1">
        <f t="shared" si="0"/>
        <v>1</v>
      </c>
    </row>
    <row r="10" spans="2:14">
      <c r="B10" s="1" t="s">
        <v>44</v>
      </c>
      <c r="C10" s="1" t="s">
        <v>55</v>
      </c>
      <c r="E10" s="1">
        <v>5</v>
      </c>
      <c r="F10" s="2" t="s">
        <v>68</v>
      </c>
      <c r="G10" s="1">
        <v>6</v>
      </c>
      <c r="I10" s="1" t="s">
        <v>40</v>
      </c>
      <c r="J10" s="1">
        <v>2</v>
      </c>
      <c r="K10" s="1">
        <f>K$8*$J10</f>
        <v>8</v>
      </c>
      <c r="L10" s="1">
        <f t="shared" si="0"/>
        <v>6</v>
      </c>
      <c r="M10" s="1">
        <f t="shared" si="0"/>
        <v>4</v>
      </c>
      <c r="N10" s="1">
        <f t="shared" si="0"/>
        <v>2</v>
      </c>
    </row>
    <row r="11" spans="2:14">
      <c r="E11" s="1">
        <v>6</v>
      </c>
      <c r="F11" s="2" t="s">
        <v>68</v>
      </c>
      <c r="G11" s="1">
        <v>6</v>
      </c>
      <c r="I11" s="1" t="s">
        <v>37</v>
      </c>
      <c r="J11" s="1">
        <v>3</v>
      </c>
      <c r="K11" s="1">
        <f>K$8*$J11</f>
        <v>12</v>
      </c>
      <c r="L11" s="1">
        <f t="shared" si="0"/>
        <v>9</v>
      </c>
      <c r="M11" s="1">
        <f t="shared" si="0"/>
        <v>6</v>
      </c>
      <c r="N11" s="1">
        <f t="shared" si="0"/>
        <v>3</v>
      </c>
    </row>
    <row r="12" spans="2:14">
      <c r="E12" s="1">
        <v>7</v>
      </c>
      <c r="F12" s="2" t="s">
        <v>68</v>
      </c>
      <c r="G12" s="1">
        <v>6</v>
      </c>
      <c r="I12" s="1" t="s">
        <v>69</v>
      </c>
      <c r="J12" s="1">
        <v>4</v>
      </c>
      <c r="K12" s="1">
        <f>K$8*$J12</f>
        <v>16</v>
      </c>
      <c r="L12" s="1">
        <f t="shared" si="0"/>
        <v>12</v>
      </c>
      <c r="M12" s="1">
        <f t="shared" si="0"/>
        <v>8</v>
      </c>
      <c r="N12" s="1">
        <f t="shared" si="0"/>
        <v>4</v>
      </c>
    </row>
    <row r="13" spans="2:14">
      <c r="E13" s="1">
        <v>8</v>
      </c>
      <c r="F13" s="2" t="s">
        <v>68</v>
      </c>
      <c r="G13" s="1">
        <v>6</v>
      </c>
    </row>
    <row r="14" spans="2:14">
      <c r="E14" s="1">
        <v>9</v>
      </c>
      <c r="F14" s="2" t="s">
        <v>68</v>
      </c>
      <c r="G14" s="1">
        <v>6</v>
      </c>
    </row>
    <row r="15" spans="2:14">
      <c r="E15" s="1">
        <v>10</v>
      </c>
      <c r="F15" s="2" t="s">
        <v>68</v>
      </c>
      <c r="G15" s="1">
        <v>6</v>
      </c>
    </row>
    <row r="16" spans="2:14">
      <c r="E16" s="1">
        <v>11</v>
      </c>
      <c r="F16" s="2" t="s">
        <v>68</v>
      </c>
      <c r="G16" s="1">
        <v>6</v>
      </c>
    </row>
    <row r="17" spans="5:7">
      <c r="E17" s="1">
        <v>12</v>
      </c>
      <c r="F17" s="2" t="s">
        <v>65</v>
      </c>
      <c r="G17" s="1">
        <v>3</v>
      </c>
    </row>
    <row r="18" spans="5:7">
      <c r="E18" s="1">
        <v>13</v>
      </c>
      <c r="F18" s="2" t="s">
        <v>65</v>
      </c>
      <c r="G18" s="1">
        <v>3</v>
      </c>
    </row>
    <row r="19" spans="5:7">
      <c r="E19" s="1">
        <v>14</v>
      </c>
      <c r="F19" s="2" t="s">
        <v>65</v>
      </c>
      <c r="G19" s="1">
        <v>3</v>
      </c>
    </row>
    <row r="20" spans="5:7">
      <c r="E20" s="1">
        <v>15</v>
      </c>
      <c r="F20" s="2" t="s">
        <v>65</v>
      </c>
      <c r="G20" s="1">
        <v>3</v>
      </c>
    </row>
    <row r="21" spans="5:7">
      <c r="E21" s="1">
        <v>16</v>
      </c>
      <c r="F21" s="2" t="s">
        <v>65</v>
      </c>
      <c r="G21" s="1">
        <v>3</v>
      </c>
    </row>
  </sheetData>
  <phoneticPr fontId="2" type="noConversion"/>
  <conditionalFormatting sqref="J9 K9:N12">
    <cfRule type="cellIs" dxfId="8" priority="1" stopIfTrue="1" operator="between">
      <formula>4</formula>
      <formula>11</formula>
    </cfRule>
    <cfRule type="cellIs" dxfId="7" priority="2" stopIfTrue="1" operator="greaterThan">
      <formula>11</formula>
    </cfRule>
    <cfRule type="cellIs" dxfId="6" priority="3" stopIfTrue="1" operator="between">
      <formula>5</formula>
      <formula>12</formula>
    </cfRule>
    <cfRule type="cellIs" dxfId="5" priority="4" stopIfTrue="1" operator="greaterThan">
      <formula>11</formula>
    </cfRule>
    <cfRule type="cellIs" dxfId="4" priority="5" stopIfTrue="1" operator="between">
      <formula>5</formula>
      <formula>11</formula>
    </cfRule>
    <cfRule type="cellIs" dxfId="3" priority="6" stopIfTrue="1" operator="between">
      <formula>4</formula>
      <formula>12</formula>
    </cfRule>
    <cfRule type="cellIs" dxfId="2" priority="7" stopIfTrue="1" operator="lessThan">
      <formula>4</formula>
    </cfRule>
    <cfRule type="cellIs" dxfId="1" priority="8" stopIfTrue="1" operator="between">
      <formula>5</formula>
      <formula>11</formula>
    </cfRule>
    <cfRule type="cellIs" dxfId="0" priority="9" stopIfTrue="1" operator="greaterThan">
      <formula>11</formula>
    </cfRule>
  </conditionalFormatting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9D33C06BCC92479116F3495E03BC09" ma:contentTypeVersion="14" ma:contentTypeDescription="Create a new document." ma:contentTypeScope="" ma:versionID="af78686b3b9189b9f84bb0ed03638c06">
  <xsd:schema xmlns:xsd="http://www.w3.org/2001/XMLSchema" xmlns:xs="http://www.w3.org/2001/XMLSchema" xmlns:p="http://schemas.microsoft.com/office/2006/metadata/properties" xmlns:ns2="913a8c84-6de5-478a-917b-ee79185f55a0" xmlns:ns3="76c0568a-3513-4ded-a32d-cefb103719d4" targetNamespace="http://schemas.microsoft.com/office/2006/metadata/properties" ma:root="true" ma:fieldsID="cf492f11c64e1e7986a655a0970a01c8" ns2:_="" ns3:_="">
    <xsd:import namespace="913a8c84-6de5-478a-917b-ee79185f55a0"/>
    <xsd:import namespace="76c0568a-3513-4ded-a32d-cefb103719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a8c84-6de5-478a-917b-ee79185f55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4b138274-8590-4664-b4fa-8696faed4a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0568a-3513-4ded-a32d-cefb103719d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c0d7-d74f-45b9-825e-cdebe6fa9022}" ma:internalName="TaxCatchAll" ma:showField="CatchAllData" ma:web="76c0568a-3513-4ded-a32d-cefb103719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3a8c84-6de5-478a-917b-ee79185f55a0">
      <Terms xmlns="http://schemas.microsoft.com/office/infopath/2007/PartnerControls"/>
    </lcf76f155ced4ddcb4097134ff3c332f>
    <TaxCatchAll xmlns="76c0568a-3513-4ded-a32d-cefb103719d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CA8B4E-B6C9-4E9B-A184-84D7A61DC930}"/>
</file>

<file path=customXml/itemProps2.xml><?xml version="1.0" encoding="utf-8"?>
<ds:datastoreItem xmlns:ds="http://schemas.openxmlformats.org/officeDocument/2006/customXml" ds:itemID="{932D2C41-663E-49E3-87B4-02E72845B483}"/>
</file>

<file path=customXml/itemProps3.xml><?xml version="1.0" encoding="utf-8"?>
<ds:datastoreItem xmlns:ds="http://schemas.openxmlformats.org/officeDocument/2006/customXml" ds:itemID="{73F951BF-D091-426B-84EE-1990731F6D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TAFE Queensland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chesherb</dc:creator>
  <cp:keywords/>
  <dc:description/>
  <cp:lastModifiedBy>Tom Barham</cp:lastModifiedBy>
  <cp:revision/>
  <dcterms:created xsi:type="dcterms:W3CDTF">2010-05-14T05:48:42Z</dcterms:created>
  <dcterms:modified xsi:type="dcterms:W3CDTF">2024-12-05T12:27:15Z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0x010100739D33C06BCC92479116F3495E03BC09</vt:lpwstr>
  </property>
  <property fmtid="{D5CDD505-2E9C-101B-9397-08002B2CF9AE}" pid="3" name="MediaServiceImageTags">
    <vt:lpwstr/>
  </property>
</Properties>
</file>
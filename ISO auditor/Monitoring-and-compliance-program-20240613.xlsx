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risktrainingprofessionals.sharepoint.com/sites/RTP/Shared Documents/1. Training Content/2. IMS (3 day)/7. Additional resources/"/>
    </mc:Choice>
  </mc:AlternateContent>
  <xr:revisionPtr revIDLastSave="0" documentId="8_{7FAB5CB2-6D82-4731-81F4-F73BB6889FC7}" xr6:coauthVersionLast="47" xr6:coauthVersionMax="47" xr10:uidLastSave="{00000000-0000-0000-0000-000000000000}"/>
  <bookViews>
    <workbookView xWindow="-8780" yWindow="-21710" windowWidth="38620" windowHeight="21100" firstSheet="1" activeTab="1" xr2:uid="{00000000-000D-0000-FFFF-FFFF00000000}"/>
  </bookViews>
  <sheets>
    <sheet name="Instructions" sheetId="6" r:id="rId1"/>
    <sheet name="Compliance programme" sheetId="5" r:id="rId2"/>
    <sheet name="Inputs" sheetId="2" r:id="rId3"/>
  </sheets>
  <definedNames>
    <definedName name="Importance">Inputs!$B$3:$B$6</definedName>
    <definedName name="_xlnm.Print_Area" localSheetId="1">'Compliance programme'!$A$1:$AC$48</definedName>
    <definedName name="Status">Inputs!$A$3:$A$6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5" l="1"/>
  <c r="Q4" i="5" s="1"/>
  <c r="R4" i="5" s="1"/>
  <c r="S4" i="5" s="1"/>
  <c r="T4" i="5" s="1"/>
  <c r="U4" i="5" s="1"/>
  <c r="V4" i="5" s="1"/>
  <c r="W4" i="5" s="1"/>
  <c r="X4" i="5" s="1"/>
  <c r="Y4" i="5" s="1"/>
  <c r="Z4" i="5" s="1"/>
  <c r="AA4" i="5" s="1"/>
  <c r="AB4" i="5" s="1"/>
  <c r="AC4" i="5" s="1"/>
  <c r="AD4" i="5" s="1"/>
  <c r="AE4" i="5" s="1"/>
  <c r="AF4" i="5" s="1"/>
  <c r="AG4" i="5" s="1"/>
  <c r="AH4" i="5" s="1"/>
  <c r="AI4" i="5" s="1"/>
  <c r="AJ4" i="5" s="1"/>
  <c r="AK4" i="5" s="1"/>
  <c r="AL4" i="5" s="1"/>
  <c r="AM4" i="5" s="1"/>
  <c r="AN4" i="5" s="1"/>
  <c r="AO4" i="5" s="1"/>
  <c r="AP4" i="5" s="1"/>
  <c r="AQ4" i="5" s="1"/>
  <c r="AR4" i="5" s="1"/>
  <c r="AS4" i="5" s="1"/>
  <c r="AT4" i="5" s="1"/>
  <c r="AU4" i="5" s="1"/>
  <c r="AV4" i="5" s="1"/>
  <c r="AW4" i="5" s="1"/>
  <c r="AX4" i="5" s="1"/>
  <c r="AY4" i="5" s="1"/>
  <c r="AZ4" i="5" s="1"/>
  <c r="BA4" i="5" s="1"/>
  <c r="BB4" i="5" s="1"/>
  <c r="BC4" i="5" s="1"/>
  <c r="BD4" i="5" s="1"/>
  <c r="BE4" i="5" s="1"/>
  <c r="BF4" i="5" s="1"/>
  <c r="BG4" i="5" s="1"/>
  <c r="BH4" i="5" s="1"/>
  <c r="BI4" i="5" s="1"/>
  <c r="BJ4" i="5" s="1"/>
  <c r="BK4" i="5" s="1"/>
  <c r="BL4" i="5" s="1"/>
  <c r="BM4" i="5" s="1"/>
  <c r="BN4" i="5" s="1"/>
  <c r="BO4" i="5" s="1"/>
  <c r="C34" i="2" l="1"/>
  <c r="C33" i="2"/>
  <c r="C32" i="2"/>
  <c r="C31" i="2"/>
  <c r="C30" i="2"/>
  <c r="C29" i="2"/>
  <c r="C28" i="2"/>
  <c r="C27" i="2"/>
  <c r="C26" i="2"/>
  <c r="C25" i="2"/>
  <c r="C24" i="2"/>
  <c r="C23" i="2"/>
  <c r="C22" i="2"/>
  <c r="C21" i="2"/>
  <c r="C20" i="2"/>
  <c r="C19" i="2"/>
  <c r="C18" i="2"/>
  <c r="C17" i="2"/>
  <c r="C16" i="2"/>
  <c r="C15" i="2"/>
  <c r="C14" i="2"/>
  <c r="C13" i="2"/>
  <c r="C12" i="2"/>
  <c r="C11" i="2"/>
  <c r="C10" i="2"/>
  <c r="N5" i="2"/>
  <c r="M5" i="2"/>
  <c r="L5" i="2"/>
  <c r="K5" i="2"/>
  <c r="J5" i="2"/>
  <c r="I6" i="2"/>
  <c r="I7" i="2"/>
  <c r="I8" i="2"/>
  <c r="I9" i="2"/>
  <c r="I10" i="2"/>
  <c r="D7" i="5" l="1"/>
  <c r="D8" i="5"/>
  <c r="D9" i="5"/>
  <c r="F9" i="5" s="1"/>
  <c r="D10" i="5"/>
  <c r="F10" i="5" s="1"/>
  <c r="D12" i="5"/>
  <c r="F12" i="5" s="1"/>
  <c r="D13" i="5"/>
  <c r="D14" i="5"/>
  <c r="D15" i="5"/>
  <c r="D16" i="5"/>
  <c r="F16" i="5" s="1"/>
  <c r="D17" i="5"/>
  <c r="D18" i="5"/>
  <c r="D19" i="5"/>
  <c r="D20" i="5"/>
  <c r="F20" i="5" s="1"/>
  <c r="D21" i="5"/>
  <c r="D22" i="5"/>
  <c r="D24" i="5"/>
  <c r="D25" i="5"/>
  <c r="F25" i="5" s="1"/>
  <c r="D26" i="5"/>
  <c r="D27" i="5"/>
  <c r="D28" i="5"/>
  <c r="D30" i="5"/>
  <c r="D31" i="5"/>
  <c r="D32" i="5"/>
  <c r="D33" i="5"/>
  <c r="D34" i="5"/>
  <c r="D36" i="5"/>
  <c r="D37" i="5"/>
  <c r="D38" i="5"/>
  <c r="D39" i="5"/>
  <c r="F39" i="5" s="1"/>
  <c r="D40" i="5"/>
  <c r="D6" i="5"/>
  <c r="F6" i="5" s="1"/>
  <c r="E9" i="5" l="1"/>
  <c r="E31" i="5"/>
  <c r="F31" i="5"/>
  <c r="E26" i="5"/>
  <c r="F26" i="5"/>
  <c r="E40" i="5"/>
  <c r="F40" i="5"/>
  <c r="E39" i="5"/>
  <c r="E38" i="5"/>
  <c r="F38" i="5"/>
  <c r="E37" i="5"/>
  <c r="F37" i="5"/>
  <c r="E36" i="5"/>
  <c r="F36" i="5"/>
  <c r="E34" i="5"/>
  <c r="F34" i="5"/>
  <c r="E33" i="5"/>
  <c r="F33" i="5"/>
  <c r="E32" i="5"/>
  <c r="F32" i="5"/>
  <c r="E30" i="5"/>
  <c r="F30" i="5"/>
  <c r="E28" i="5"/>
  <c r="F28" i="5"/>
  <c r="E27" i="5"/>
  <c r="F27" i="5"/>
  <c r="E25" i="5"/>
  <c r="E24" i="5"/>
  <c r="F24" i="5"/>
  <c r="E22" i="5"/>
  <c r="F22" i="5"/>
  <c r="E21" i="5"/>
  <c r="F21" i="5"/>
  <c r="E20" i="5"/>
  <c r="E19" i="5"/>
  <c r="F19" i="5"/>
  <c r="E18" i="5"/>
  <c r="F18" i="5"/>
  <c r="E16" i="5"/>
  <c r="E14" i="5"/>
  <c r="F14" i="5"/>
  <c r="E13" i="5"/>
  <c r="F13" i="5"/>
  <c r="E15" i="5"/>
  <c r="F15" i="5"/>
  <c r="E12" i="5"/>
  <c r="E8" i="5"/>
  <c r="F8" i="5"/>
  <c r="E7" i="5"/>
  <c r="F7" i="5"/>
  <c r="E10" i="5"/>
  <c r="E6" i="5"/>
</calcChain>
</file>

<file path=xl/sharedStrings.xml><?xml version="1.0" encoding="utf-8"?>
<sst xmlns="http://schemas.openxmlformats.org/spreadsheetml/2006/main" count="168" uniqueCount="63">
  <si>
    <t>Instructions</t>
  </si>
  <si>
    <t xml:space="preserve">1. Start by mapping out your organisational processes - understand what your business does at a high level, and then the individual steps taken to realise this.
</t>
  </si>
  <si>
    <t xml:space="preserve">2. Document these process steps on "Activity" column of the Compliane programme. Add or delete rows as necessary. These process steps should be grouped into core business processes or business units, with the business unit or core business process entered in the grey row.
</t>
  </si>
  <si>
    <t xml:space="preserve">3. Assess each activity or process for it's status and importance. Status may be determined by prior performance or compliance history. Importance should be considered by assessing the criticality of the activity to the business.
</t>
  </si>
  <si>
    <t xml:space="preserve">4. Once status and importance are determined, the risk rating and review frequency will be automatically calculated. You may need to update the risk assessment table on the "Inputs" tab to reflect your organisation's own risk matrix. 
</t>
  </si>
  <si>
    <t xml:space="preserve">5. Determine the most apppropriate compliance monitoring method. If you require the methods to be changed, update these in the "Inputs" tab.
</t>
  </si>
  <si>
    <t xml:space="preserve">6. Identify which locations within the business each activity occurs at. If all activities occur within a single location, you may wish to delete the location columns or change them to reflect individual business units.
</t>
  </si>
  <si>
    <t xml:space="preserve">7. Allocate responsibilities for each compliance monitoring activity. Update names and abbreviations on the "Inputs" tab.
</t>
  </si>
  <si>
    <t>8. Enter any single letter or numerical value in the appropriate cell of the "Calendar" to indicate that the compliance monitoring activity will occur in that week. The conditional formatting will automatically change the cell to be coloured.</t>
  </si>
  <si>
    <t>Monitoring and compliance program</t>
  </si>
  <si>
    <t>Activity</t>
  </si>
  <si>
    <t>Status</t>
  </si>
  <si>
    <t>Importance</t>
  </si>
  <si>
    <t>Score</t>
  </si>
  <si>
    <t>Risk</t>
  </si>
  <si>
    <t>Freq</t>
  </si>
  <si>
    <t>Method</t>
  </si>
  <si>
    <t>Location</t>
  </si>
  <si>
    <t>Responsibility</t>
  </si>
  <si>
    <t>Calendar</t>
  </si>
  <si>
    <t>January</t>
  </si>
  <si>
    <t>February</t>
  </si>
  <si>
    <t>March</t>
  </si>
  <si>
    <t>April</t>
  </si>
  <si>
    <t>May</t>
  </si>
  <si>
    <t>June</t>
  </si>
  <si>
    <t>July</t>
  </si>
  <si>
    <t>August</t>
  </si>
  <si>
    <t>September</t>
  </si>
  <si>
    <t>October</t>
  </si>
  <si>
    <t>November</t>
  </si>
  <si>
    <t>December</t>
  </si>
  <si>
    <t>Excellent</t>
  </si>
  <si>
    <t>Critical</t>
  </si>
  <si>
    <t>Good</t>
  </si>
  <si>
    <t>Major</t>
  </si>
  <si>
    <t>Reasonable</t>
  </si>
  <si>
    <t>Moderate</t>
  </si>
  <si>
    <t>Poor</t>
  </si>
  <si>
    <t>Minor</t>
  </si>
  <si>
    <t>Nonexistant</t>
  </si>
  <si>
    <t>Insignificant</t>
  </si>
  <si>
    <t>Personnel</t>
  </si>
  <si>
    <t>Abbr</t>
  </si>
  <si>
    <t>Low</t>
  </si>
  <si>
    <t>Firstname Surname</t>
  </si>
  <si>
    <t>XX</t>
  </si>
  <si>
    <t>Medium</t>
  </si>
  <si>
    <t>Data analysis</t>
  </si>
  <si>
    <t>Document review</t>
  </si>
  <si>
    <t>External audit</t>
  </si>
  <si>
    <t>Inspection</t>
  </si>
  <si>
    <t>Internal audit</t>
  </si>
  <si>
    <t>Self assessment</t>
  </si>
  <si>
    <t>Systems review</t>
  </si>
  <si>
    <t>High</t>
  </si>
  <si>
    <t>Visual</t>
  </si>
  <si>
    <t>Extreme</t>
  </si>
  <si>
    <t>Frequency</t>
  </si>
  <si>
    <t>Annual</t>
  </si>
  <si>
    <t>Biannual</t>
  </si>
  <si>
    <t>Quarterly</t>
  </si>
  <si>
    <t>Monthly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</si>
</sst>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0">
    <font>
      <sz val="10"/>
      <name val="Arial"/>
    </font>
    <font>
      <sz val="10"/>
      <name val="Arial"/>
      <family val="2"/>
    </font>
    <font>
      <sz val="8"/>
      <name val="Arial"/>
      <family val="2"/>
    </font>
    <font>
      <sz val="9"/>
      <name val="Arial"/>
      <family val="2"/>
    </font>
    <font>
      <b/>
      <sz val="9"/>
      <name val="Arial"/>
      <family val="2"/>
    </font>
    <font>
      <b/>
      <sz val="10"/>
      <name val="Arial"/>
      <family val="2"/>
    </font>
    <font>
      <b/>
      <sz val="10"/>
      <color theme="0"/>
      <name val="Arial"/>
      <family val="2"/>
    </font>
    <font>
      <sz val="18"/>
      <name val="Arial"/>
      <family val="2"/>
    </font>
    <font>
      <sz val="12"/>
      <name val="Arial"/>
      <family val="2"/>
    </font>
    <font>
      <b/>
      <sz val="14"/>
      <name val="Arial"/>
      <family val="2"/>
    </font>
  </fonts>
  <fills count="1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indexed="64"/>
      </top>
      <bottom/>
      <diagonal/>
    </border>
    <border>
      <left/>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top style="thin">
        <color indexed="64"/>
      </top>
      <bottom style="thin">
        <color indexed="64"/>
      </bottom>
      <diagonal/>
    </border>
  </borders>
  <cellStyleXfs count="1">
    <xf numFmtId="0" fontId="0" fillId="0" borderId="0"/>
  </cellStyleXfs>
  <cellXfs count="193">
    <xf numFmtId="0" fontId="0" fillId="0" borderId="0" xfId="0"/>
    <xf numFmtId="0" fontId="0" fillId="0" borderId="1" xfId="0" applyBorder="1"/>
    <xf numFmtId="0" fontId="0" fillId="2" borderId="1" xfId="0" applyFill="1" applyBorder="1"/>
    <xf numFmtId="0" fontId="3" fillId="2" borderId="1" xfId="0" applyFont="1" applyFill="1" applyBorder="1"/>
    <xf numFmtId="0" fontId="0" fillId="2" borderId="0" xfId="0" applyFill="1"/>
    <xf numFmtId="0" fontId="0" fillId="2" borderId="1" xfId="0" applyFill="1" applyBorder="1" applyProtection="1">
      <protection locked="0"/>
    </xf>
    <xf numFmtId="0" fontId="0" fillId="2" borderId="0" xfId="0" applyFill="1" applyAlignment="1" applyProtection="1">
      <alignment wrapText="1"/>
      <protection locked="0"/>
    </xf>
    <xf numFmtId="0" fontId="3" fillId="2" borderId="0" xfId="0" applyFont="1" applyFill="1"/>
    <xf numFmtId="0" fontId="0" fillId="2" borderId="0" xfId="0" applyFill="1" applyAlignment="1">
      <alignment textRotation="90"/>
    </xf>
    <xf numFmtId="0" fontId="0" fillId="2" borderId="0" xfId="0" applyFill="1" applyAlignment="1">
      <alignment wrapText="1"/>
    </xf>
    <xf numFmtId="0" fontId="3" fillId="2" borderId="0" xfId="0" applyFont="1" applyFill="1" applyAlignment="1">
      <alignment wrapText="1"/>
    </xf>
    <xf numFmtId="0" fontId="0" fillId="5" borderId="1" xfId="0" applyFill="1" applyBorder="1"/>
    <xf numFmtId="0" fontId="0" fillId="6" borderId="1" xfId="0" applyFill="1" applyBorder="1"/>
    <xf numFmtId="0" fontId="0" fillId="3" borderId="1" xfId="0" applyFill="1" applyBorder="1"/>
    <xf numFmtId="0" fontId="0" fillId="7" borderId="1" xfId="0" applyFill="1" applyBorder="1"/>
    <xf numFmtId="0" fontId="0" fillId="2" borderId="2" xfId="0" applyFill="1" applyBorder="1"/>
    <xf numFmtId="0" fontId="3" fillId="2" borderId="10" xfId="0" applyFont="1" applyFill="1" applyBorder="1"/>
    <xf numFmtId="0" fontId="5" fillId="0" borderId="0" xfId="0" applyFont="1"/>
    <xf numFmtId="0" fontId="3" fillId="2" borderId="2" xfId="0" applyFont="1" applyFill="1" applyBorder="1"/>
    <xf numFmtId="0" fontId="3" fillId="2" borderId="13" xfId="0" applyFont="1" applyFill="1" applyBorder="1"/>
    <xf numFmtId="0" fontId="0" fillId="2" borderId="10" xfId="0" applyFill="1" applyBorder="1"/>
    <xf numFmtId="0" fontId="0" fillId="10" borderId="1" xfId="0" applyFill="1" applyBorder="1"/>
    <xf numFmtId="0" fontId="0" fillId="10" borderId="10" xfId="0" applyFill="1" applyBorder="1"/>
    <xf numFmtId="0" fontId="0" fillId="11" borderId="1" xfId="0" applyFill="1" applyBorder="1"/>
    <xf numFmtId="0" fontId="0" fillId="11" borderId="10" xfId="0" applyFill="1" applyBorder="1"/>
    <xf numFmtId="0" fontId="0" fillId="12" borderId="1" xfId="0" applyFill="1" applyBorder="1"/>
    <xf numFmtId="0" fontId="0" fillId="12" borderId="10" xfId="0" applyFill="1" applyBorder="1"/>
    <xf numFmtId="0" fontId="0" fillId="13" borderId="1" xfId="0" applyFill="1" applyBorder="1"/>
    <xf numFmtId="0" fontId="0" fillId="13" borderId="10" xfId="0" applyFill="1" applyBorder="1"/>
    <xf numFmtId="0" fontId="0" fillId="8" borderId="1" xfId="0" applyFill="1" applyBorder="1"/>
    <xf numFmtId="0" fontId="0" fillId="8" borderId="10" xfId="0" applyFill="1" applyBorder="1"/>
    <xf numFmtId="0" fontId="0" fillId="9" borderId="1" xfId="0" applyFill="1" applyBorder="1"/>
    <xf numFmtId="0" fontId="0" fillId="9" borderId="10" xfId="0" applyFill="1" applyBorder="1"/>
    <xf numFmtId="0" fontId="0" fillId="8" borderId="8" xfId="0" applyFill="1" applyBorder="1"/>
    <xf numFmtId="0" fontId="0" fillId="8" borderId="11" xfId="0" applyFill="1" applyBorder="1"/>
    <xf numFmtId="0" fontId="0" fillId="0" borderId="7" xfId="0" applyBorder="1"/>
    <xf numFmtId="0" fontId="0" fillId="0" borderId="8" xfId="0" applyBorder="1"/>
    <xf numFmtId="0" fontId="0" fillId="0" borderId="9" xfId="0" applyBorder="1"/>
    <xf numFmtId="0" fontId="0" fillId="0" borderId="11" xfId="0" applyBorder="1"/>
    <xf numFmtId="0" fontId="5" fillId="14" borderId="4" xfId="0" applyFont="1" applyFill="1" applyBorder="1"/>
    <xf numFmtId="0" fontId="5" fillId="14" borderId="6" xfId="0" applyFont="1" applyFill="1" applyBorder="1"/>
    <xf numFmtId="0" fontId="0" fillId="2" borderId="10" xfId="0" applyFill="1" applyBorder="1" applyProtection="1">
      <protection locked="0"/>
    </xf>
    <xf numFmtId="0" fontId="0" fillId="2" borderId="13" xfId="0" applyFill="1" applyBorder="1"/>
    <xf numFmtId="0" fontId="0" fillId="14" borderId="14" xfId="0" applyFill="1" applyBorder="1"/>
    <xf numFmtId="0" fontId="0" fillId="2" borderId="17" xfId="0" applyFill="1" applyBorder="1" applyProtection="1">
      <protection locked="0"/>
    </xf>
    <xf numFmtId="0" fontId="0" fillId="2" borderId="17" xfId="0" applyFill="1" applyBorder="1"/>
    <xf numFmtId="0" fontId="0" fillId="2" borderId="18" xfId="0" applyFill="1" applyBorder="1"/>
    <xf numFmtId="0" fontId="3" fillId="2" borderId="17" xfId="0" applyFont="1" applyFill="1" applyBorder="1"/>
    <xf numFmtId="0" fontId="3" fillId="2" borderId="18" xfId="0" applyFont="1" applyFill="1" applyBorder="1"/>
    <xf numFmtId="0" fontId="0" fillId="14" borderId="21" xfId="0" applyFill="1" applyBorder="1"/>
    <xf numFmtId="0" fontId="0" fillId="11" borderId="17" xfId="0" applyFill="1" applyBorder="1"/>
    <xf numFmtId="0" fontId="0" fillId="13" borderId="17" xfId="0" applyFill="1" applyBorder="1"/>
    <xf numFmtId="0" fontId="0" fillId="8" borderId="17" xfId="0" applyFill="1" applyBorder="1"/>
    <xf numFmtId="0" fontId="0" fillId="9" borderId="17" xfId="0" applyFill="1" applyBorder="1"/>
    <xf numFmtId="0" fontId="0" fillId="8" borderId="19" xfId="0" applyFill="1" applyBorder="1"/>
    <xf numFmtId="0" fontId="0" fillId="2" borderId="24" xfId="0" applyFill="1" applyBorder="1"/>
    <xf numFmtId="0" fontId="0" fillId="2" borderId="26" xfId="0" applyFill="1" applyBorder="1"/>
    <xf numFmtId="0" fontId="3" fillId="2" borderId="24" xfId="0" applyFont="1" applyFill="1" applyBorder="1"/>
    <xf numFmtId="0" fontId="3" fillId="2" borderId="26" xfId="0" applyFont="1" applyFill="1" applyBorder="1"/>
    <xf numFmtId="0" fontId="0" fillId="14" borderId="34" xfId="0" applyFill="1" applyBorder="1"/>
    <xf numFmtId="0" fontId="0" fillId="10" borderId="24" xfId="0" applyFill="1" applyBorder="1"/>
    <xf numFmtId="0" fontId="0" fillId="12" borderId="24" xfId="0" applyFill="1" applyBorder="1"/>
    <xf numFmtId="0" fontId="0" fillId="11" borderId="24" xfId="0" applyFill="1" applyBorder="1"/>
    <xf numFmtId="0" fontId="0" fillId="13" borderId="24" xfId="0" applyFill="1" applyBorder="1"/>
    <xf numFmtId="0" fontId="0" fillId="8" borderId="24" xfId="0" applyFill="1" applyBorder="1"/>
    <xf numFmtId="0" fontId="0" fillId="9" borderId="24" xfId="0" applyFill="1" applyBorder="1"/>
    <xf numFmtId="0" fontId="0" fillId="8" borderId="25" xfId="0" applyFill="1" applyBorder="1"/>
    <xf numFmtId="0" fontId="3" fillId="2" borderId="5" xfId="0" applyFont="1" applyFill="1" applyBorder="1"/>
    <xf numFmtId="0" fontId="3" fillId="2" borderId="12" xfId="0" applyFont="1" applyFill="1" applyBorder="1"/>
    <xf numFmtId="0" fontId="3" fillId="2" borderId="6" xfId="0" applyFont="1" applyFill="1" applyBorder="1"/>
    <xf numFmtId="0" fontId="3" fillId="2" borderId="8" xfId="0" applyFont="1" applyFill="1" applyBorder="1"/>
    <xf numFmtId="0" fontId="3" fillId="2" borderId="11" xfId="0" applyFont="1" applyFill="1" applyBorder="1"/>
    <xf numFmtId="0" fontId="0" fillId="11" borderId="5" xfId="0" applyFill="1" applyBorder="1"/>
    <xf numFmtId="0" fontId="0" fillId="13" borderId="5" xfId="0" applyFill="1" applyBorder="1"/>
    <xf numFmtId="0" fontId="0" fillId="8" borderId="5" xfId="0" applyFill="1" applyBorder="1"/>
    <xf numFmtId="0" fontId="0" fillId="9" borderId="5" xfId="0" applyFill="1" applyBorder="1"/>
    <xf numFmtId="0" fontId="0" fillId="8" borderId="6" xfId="0" applyFill="1" applyBorder="1"/>
    <xf numFmtId="0" fontId="0" fillId="2" borderId="3" xfId="0" applyFill="1" applyBorder="1"/>
    <xf numFmtId="0" fontId="0" fillId="2" borderId="36" xfId="0" applyFill="1" applyBorder="1"/>
    <xf numFmtId="0" fontId="0" fillId="2" borderId="40" xfId="0" applyFill="1" applyBorder="1"/>
    <xf numFmtId="0" fontId="0" fillId="2" borderId="8" xfId="0" applyFill="1" applyBorder="1"/>
    <xf numFmtId="0" fontId="0" fillId="2" borderId="11" xfId="0" applyFill="1" applyBorder="1"/>
    <xf numFmtId="0" fontId="0" fillId="2" borderId="25" xfId="0" applyFill="1" applyBorder="1"/>
    <xf numFmtId="0" fontId="0" fillId="2" borderId="19" xfId="0" applyFill="1" applyBorder="1"/>
    <xf numFmtId="0" fontId="5" fillId="14" borderId="42" xfId="0" applyFont="1" applyFill="1" applyBorder="1"/>
    <xf numFmtId="0" fontId="5" fillId="14" borderId="5" xfId="0" applyFont="1" applyFill="1" applyBorder="1"/>
    <xf numFmtId="0" fontId="9" fillId="0" borderId="0" xfId="0" applyFont="1"/>
    <xf numFmtId="0" fontId="0" fillId="0" borderId="0" xfId="0" applyAlignment="1">
      <alignment wrapText="1"/>
    </xf>
    <xf numFmtId="0" fontId="7" fillId="2" borderId="0" xfId="0" applyFont="1" applyFill="1" applyAlignment="1">
      <alignment horizontal="left" wrapText="1"/>
    </xf>
    <xf numFmtId="0" fontId="6" fillId="4" borderId="31" xfId="0" applyFont="1" applyFill="1" applyBorder="1" applyAlignment="1">
      <alignment horizontal="left"/>
    </xf>
    <xf numFmtId="0" fontId="6" fillId="4" borderId="32" xfId="0" applyFont="1" applyFill="1" applyBorder="1" applyAlignment="1">
      <alignment horizontal="left"/>
    </xf>
    <xf numFmtId="0" fontId="6" fillId="4" borderId="33" xfId="0" applyFont="1" applyFill="1" applyBorder="1" applyAlignment="1">
      <alignment horizontal="left"/>
    </xf>
    <xf numFmtId="0" fontId="8" fillId="8" borderId="1" xfId="0" applyFont="1" applyFill="1" applyBorder="1" applyAlignment="1">
      <alignment horizontal="center"/>
    </xf>
    <xf numFmtId="0" fontId="8" fillId="8" borderId="8" xfId="0" applyFont="1" applyFill="1" applyBorder="1" applyAlignment="1">
      <alignment horizontal="center"/>
    </xf>
    <xf numFmtId="0" fontId="8" fillId="2" borderId="8" xfId="0" applyFont="1" applyFill="1" applyBorder="1" applyAlignment="1">
      <alignment horizontal="center"/>
    </xf>
    <xf numFmtId="0" fontId="8" fillId="2" borderId="11" xfId="0" applyFont="1" applyFill="1" applyBorder="1" applyAlignment="1">
      <alignment horizontal="center"/>
    </xf>
    <xf numFmtId="0" fontId="8" fillId="2" borderId="20" xfId="0" applyFont="1" applyFill="1" applyBorder="1" applyAlignment="1">
      <alignment horizontal="left"/>
    </xf>
    <xf numFmtId="0" fontId="8" fillId="2" borderId="15" xfId="0" applyFont="1" applyFill="1" applyBorder="1" applyAlignment="1">
      <alignment horizontal="left"/>
    </xf>
    <xf numFmtId="0" fontId="8" fillId="2" borderId="27" xfId="0" applyFont="1" applyFill="1" applyBorder="1" applyAlignment="1">
      <alignment horizontal="left"/>
    </xf>
    <xf numFmtId="0" fontId="8" fillId="9" borderId="1" xfId="0" applyFont="1" applyFill="1" applyBorder="1" applyAlignment="1">
      <alignment horizontal="center"/>
    </xf>
    <xf numFmtId="0" fontId="8" fillId="10" borderId="1" xfId="0" applyFont="1" applyFill="1" applyBorder="1" applyAlignment="1">
      <alignment horizontal="center"/>
    </xf>
    <xf numFmtId="0" fontId="8" fillId="13" borderId="1" xfId="0" applyFont="1" applyFill="1" applyBorder="1" applyAlignment="1">
      <alignment horizontal="center"/>
    </xf>
    <xf numFmtId="0" fontId="8" fillId="2" borderId="1" xfId="0" applyFont="1" applyFill="1" applyBorder="1" applyAlignment="1">
      <alignment horizontal="center"/>
    </xf>
    <xf numFmtId="0" fontId="8" fillId="2" borderId="10" xfId="0" applyFont="1" applyFill="1" applyBorder="1" applyAlignment="1">
      <alignment horizontal="center"/>
    </xf>
    <xf numFmtId="0" fontId="6" fillId="4" borderId="38" xfId="0" applyFont="1" applyFill="1" applyBorder="1" applyAlignment="1">
      <alignment horizontal="left"/>
    </xf>
    <xf numFmtId="0" fontId="6" fillId="4" borderId="41" xfId="0" applyFont="1" applyFill="1" applyBorder="1" applyAlignment="1">
      <alignment horizontal="left"/>
    </xf>
    <xf numFmtId="0" fontId="8" fillId="9" borderId="7" xfId="0" applyFont="1" applyFill="1" applyBorder="1" applyAlignment="1">
      <alignment horizontal="center"/>
    </xf>
    <xf numFmtId="0" fontId="8" fillId="12" borderId="1" xfId="0" applyFont="1" applyFill="1" applyBorder="1" applyAlignment="1">
      <alignment horizontal="center"/>
    </xf>
    <xf numFmtId="0" fontId="8" fillId="11" borderId="1" xfId="0" applyFont="1" applyFill="1" applyBorder="1" applyAlignment="1">
      <alignment horizontal="center"/>
    </xf>
    <xf numFmtId="0" fontId="4" fillId="2" borderId="37" xfId="0" applyFont="1" applyFill="1" applyBorder="1" applyAlignment="1">
      <alignment horizontal="center" textRotation="90"/>
    </xf>
    <xf numFmtId="0" fontId="4" fillId="2" borderId="0" xfId="0" applyFont="1" applyFill="1" applyAlignment="1">
      <alignment horizontal="center" textRotation="90"/>
    </xf>
    <xf numFmtId="0" fontId="8" fillId="11" borderId="2" xfId="0" applyFont="1" applyFill="1" applyBorder="1" applyAlignment="1">
      <alignment horizontal="center"/>
    </xf>
    <xf numFmtId="0" fontId="8" fillId="11" borderId="46" xfId="0" applyFont="1" applyFill="1" applyBorder="1" applyAlignment="1">
      <alignment horizontal="center"/>
    </xf>
    <xf numFmtId="0" fontId="8" fillId="11" borderId="3" xfId="0" applyFont="1" applyFill="1" applyBorder="1" applyAlignment="1">
      <alignment horizontal="center"/>
    </xf>
    <xf numFmtId="0" fontId="8" fillId="12" borderId="2" xfId="0" applyFont="1" applyFill="1" applyBorder="1" applyAlignment="1">
      <alignment horizontal="center"/>
    </xf>
    <xf numFmtId="0" fontId="8" fillId="12" borderId="46" xfId="0" applyFont="1" applyFill="1" applyBorder="1" applyAlignment="1">
      <alignment horizontal="center"/>
    </xf>
    <xf numFmtId="0" fontId="8" fillId="12" borderId="3" xfId="0" applyFont="1" applyFill="1" applyBorder="1" applyAlignment="1">
      <alignment horizontal="center"/>
    </xf>
    <xf numFmtId="0" fontId="1" fillId="2" borderId="4" xfId="0" applyFont="1" applyFill="1" applyBorder="1" applyAlignment="1">
      <alignment horizontal="left"/>
    </xf>
    <xf numFmtId="0" fontId="1" fillId="2" borderId="30" xfId="0" applyFont="1" applyFill="1" applyBorder="1" applyAlignment="1">
      <alignment horizontal="left"/>
    </xf>
    <xf numFmtId="0" fontId="1" fillId="2" borderId="23" xfId="0" applyFont="1" applyFill="1" applyBorder="1" applyAlignment="1">
      <alignment horizontal="left"/>
    </xf>
    <xf numFmtId="0" fontId="7" fillId="2" borderId="0" xfId="0" applyFont="1" applyFill="1" applyAlignment="1">
      <alignment horizontal="left" wrapText="1"/>
    </xf>
    <xf numFmtId="0" fontId="8" fillId="2" borderId="7" xfId="0" applyFont="1" applyFill="1" applyBorder="1" applyAlignment="1">
      <alignment horizontal="center"/>
    </xf>
    <xf numFmtId="0" fontId="8" fillId="2" borderId="9" xfId="0" applyFont="1" applyFill="1" applyBorder="1" applyAlignment="1">
      <alignment horizontal="center"/>
    </xf>
    <xf numFmtId="0" fontId="1" fillId="0" borderId="0" xfId="0" applyFont="1" applyAlignment="1">
      <alignment wrapText="1"/>
    </xf>
    <xf numFmtId="0" fontId="1" fillId="0" borderId="0" xfId="0" quotePrefix="1" applyFont="1" applyAlignment="1">
      <alignment wrapText="1"/>
    </xf>
    <xf numFmtId="0" fontId="1" fillId="2" borderId="5" xfId="0" applyFont="1" applyFill="1" applyBorder="1" applyAlignment="1">
      <alignment horizontal="left"/>
    </xf>
    <xf numFmtId="0" fontId="1" fillId="2" borderId="29" xfId="0" applyFont="1" applyFill="1" applyBorder="1" applyAlignment="1">
      <alignment horizontal="left"/>
    </xf>
    <xf numFmtId="0" fontId="1" fillId="2" borderId="12" xfId="0" applyFont="1" applyFill="1" applyBorder="1" applyAlignment="1">
      <alignment horizontal="left"/>
    </xf>
    <xf numFmtId="0" fontId="1" fillId="2" borderId="28" xfId="0" applyFont="1" applyFill="1" applyBorder="1" applyAlignment="1">
      <alignment horizontal="left"/>
    </xf>
    <xf numFmtId="0" fontId="1" fillId="2" borderId="45" xfId="0" applyFont="1" applyFill="1" applyBorder="1" applyAlignment="1">
      <alignment horizontal="left"/>
    </xf>
    <xf numFmtId="0" fontId="1" fillId="2" borderId="24" xfId="0" applyFont="1" applyFill="1" applyBorder="1" applyAlignment="1">
      <alignment horizontal="left"/>
    </xf>
    <xf numFmtId="0" fontId="1" fillId="2" borderId="26" xfId="0" applyFont="1" applyFill="1" applyBorder="1" applyAlignment="1">
      <alignment horizontal="left"/>
    </xf>
    <xf numFmtId="164" fontId="1" fillId="9" borderId="9" xfId="0" applyNumberFormat="1" applyFont="1" applyFill="1" applyBorder="1" applyAlignment="1">
      <alignment textRotation="90"/>
    </xf>
    <xf numFmtId="164" fontId="1" fillId="9" borderId="10" xfId="0" applyNumberFormat="1" applyFont="1" applyFill="1" applyBorder="1" applyAlignment="1">
      <alignment textRotation="90"/>
    </xf>
    <xf numFmtId="164" fontId="1" fillId="10" borderId="10" xfId="0" applyNumberFormat="1" applyFont="1" applyFill="1" applyBorder="1" applyAlignment="1">
      <alignment textRotation="90"/>
    </xf>
    <xf numFmtId="164" fontId="1" fillId="12" borderId="10" xfId="0" applyNumberFormat="1" applyFont="1" applyFill="1" applyBorder="1" applyAlignment="1">
      <alignment textRotation="90"/>
    </xf>
    <xf numFmtId="164" fontId="1" fillId="11" borderId="10" xfId="0" applyNumberFormat="1" applyFont="1" applyFill="1" applyBorder="1" applyAlignment="1">
      <alignment textRotation="90"/>
    </xf>
    <xf numFmtId="164" fontId="1" fillId="13" borderId="10" xfId="0" applyNumberFormat="1" applyFont="1" applyFill="1" applyBorder="1" applyAlignment="1">
      <alignment textRotation="90"/>
    </xf>
    <xf numFmtId="164" fontId="1" fillId="8" borderId="10" xfId="0" applyNumberFormat="1" applyFont="1" applyFill="1" applyBorder="1" applyAlignment="1">
      <alignment textRotation="90"/>
    </xf>
    <xf numFmtId="164" fontId="1" fillId="8" borderId="11" xfId="0" applyNumberFormat="1" applyFont="1" applyFill="1" applyBorder="1" applyAlignment="1">
      <alignment textRotation="90"/>
    </xf>
    <xf numFmtId="0" fontId="1" fillId="2" borderId="16" xfId="0" applyFont="1" applyFill="1" applyBorder="1"/>
    <xf numFmtId="0" fontId="1" fillId="2" borderId="35" xfId="0" applyFont="1" applyFill="1" applyBorder="1"/>
    <xf numFmtId="0" fontId="1" fillId="9" borderId="16" xfId="0" applyFont="1" applyFill="1" applyBorder="1" applyAlignment="1">
      <alignment textRotation="90"/>
    </xf>
    <xf numFmtId="0" fontId="1" fillId="9" borderId="17" xfId="0" applyFont="1" applyFill="1" applyBorder="1" applyAlignment="1">
      <alignment textRotation="90"/>
    </xf>
    <xf numFmtId="0" fontId="1" fillId="10" borderId="17" xfId="0" applyFont="1" applyFill="1" applyBorder="1" applyAlignment="1">
      <alignment textRotation="90"/>
    </xf>
    <xf numFmtId="0" fontId="1" fillId="12" borderId="17" xfId="0" applyFont="1" applyFill="1" applyBorder="1" applyAlignment="1">
      <alignment textRotation="90"/>
    </xf>
    <xf numFmtId="0" fontId="1" fillId="11" borderId="17" xfId="0" applyFont="1" applyFill="1" applyBorder="1" applyAlignment="1">
      <alignment textRotation="90"/>
    </xf>
    <xf numFmtId="0" fontId="1" fillId="2" borderId="7" xfId="0" applyFont="1" applyFill="1" applyBorder="1"/>
    <xf numFmtId="0" fontId="1" fillId="2" borderId="1" xfId="0" applyFont="1" applyFill="1" applyBorder="1" applyProtection="1">
      <protection locked="0"/>
    </xf>
    <xf numFmtId="0" fontId="1" fillId="2" borderId="3" xfId="0" applyFont="1" applyFill="1" applyBorder="1"/>
    <xf numFmtId="0" fontId="1" fillId="9" borderId="7" xfId="0" applyFont="1" applyFill="1" applyBorder="1" applyAlignment="1">
      <alignment textRotation="90"/>
    </xf>
    <xf numFmtId="0" fontId="1" fillId="9" borderId="1" xfId="0" applyFont="1" applyFill="1" applyBorder="1" applyAlignment="1">
      <alignment textRotation="90"/>
    </xf>
    <xf numFmtId="0" fontId="1" fillId="10" borderId="1" xfId="0" applyFont="1" applyFill="1" applyBorder="1" applyAlignment="1">
      <alignment textRotation="90"/>
    </xf>
    <xf numFmtId="0" fontId="1" fillId="12" borderId="1" xfId="0" applyFont="1" applyFill="1" applyBorder="1" applyAlignment="1">
      <alignment textRotation="90"/>
    </xf>
    <xf numFmtId="0" fontId="1" fillId="11" borderId="1" xfId="0" applyFont="1" applyFill="1" applyBorder="1" applyAlignment="1">
      <alignment textRotation="90"/>
    </xf>
    <xf numFmtId="0" fontId="1" fillId="2" borderId="23" xfId="0" applyFont="1" applyFill="1" applyBorder="1"/>
    <xf numFmtId="0" fontId="1" fillId="2" borderId="24" xfId="0" applyFont="1" applyFill="1" applyBorder="1" applyProtection="1">
      <protection locked="0"/>
    </xf>
    <xf numFmtId="0" fontId="1" fillId="9" borderId="23" xfId="0" applyFont="1" applyFill="1" applyBorder="1" applyAlignment="1">
      <alignment textRotation="90"/>
    </xf>
    <xf numFmtId="0" fontId="1" fillId="9" borderId="24" xfId="0" applyFont="1" applyFill="1" applyBorder="1" applyAlignment="1">
      <alignment textRotation="90"/>
    </xf>
    <xf numFmtId="0" fontId="1" fillId="10" borderId="24" xfId="0" applyFont="1" applyFill="1" applyBorder="1" applyAlignment="1">
      <alignment textRotation="90"/>
    </xf>
    <xf numFmtId="0" fontId="1" fillId="12" borderId="24" xfId="0" applyFont="1" applyFill="1" applyBorder="1" applyAlignment="1">
      <alignment textRotation="90"/>
    </xf>
    <xf numFmtId="0" fontId="1" fillId="11" borderId="24" xfId="0" applyFont="1" applyFill="1" applyBorder="1" applyAlignment="1">
      <alignment textRotation="90"/>
    </xf>
    <xf numFmtId="0" fontId="1" fillId="13" borderId="24" xfId="0" applyFont="1" applyFill="1" applyBorder="1" applyAlignment="1">
      <alignment textRotation="90"/>
    </xf>
    <xf numFmtId="0" fontId="1" fillId="2" borderId="16" xfId="0" applyFont="1" applyFill="1" applyBorder="1" applyProtection="1">
      <protection locked="0"/>
    </xf>
    <xf numFmtId="0" fontId="1" fillId="2" borderId="17" xfId="0" applyFont="1" applyFill="1" applyBorder="1" applyProtection="1">
      <protection locked="0"/>
    </xf>
    <xf numFmtId="0" fontId="1" fillId="2" borderId="7" xfId="0" applyFont="1" applyFill="1" applyBorder="1" applyProtection="1">
      <protection locked="0"/>
    </xf>
    <xf numFmtId="0" fontId="1" fillId="14" borderId="14" xfId="0" applyFont="1" applyFill="1" applyBorder="1"/>
    <xf numFmtId="0" fontId="1" fillId="14" borderId="34" xfId="0" applyFont="1" applyFill="1" applyBorder="1"/>
    <xf numFmtId="0" fontId="1" fillId="14" borderId="21" xfId="0" applyFont="1" applyFill="1" applyBorder="1"/>
    <xf numFmtId="0" fontId="1" fillId="2" borderId="39" xfId="0" applyFont="1" applyFill="1" applyBorder="1"/>
    <xf numFmtId="0" fontId="1" fillId="9" borderId="4" xfId="0" applyFont="1" applyFill="1" applyBorder="1" applyAlignment="1">
      <alignment textRotation="90"/>
    </xf>
    <xf numFmtId="0" fontId="1" fillId="9" borderId="5" xfId="0" applyFont="1" applyFill="1" applyBorder="1" applyAlignment="1">
      <alignment textRotation="90"/>
    </xf>
    <xf numFmtId="0" fontId="1" fillId="10" borderId="5" xfId="0" applyFont="1" applyFill="1" applyBorder="1" applyAlignment="1">
      <alignment textRotation="90"/>
    </xf>
    <xf numFmtId="0" fontId="1" fillId="12" borderId="5" xfId="0" applyFont="1" applyFill="1" applyBorder="1" applyAlignment="1">
      <alignment textRotation="90"/>
    </xf>
    <xf numFmtId="0" fontId="1" fillId="11" borderId="5" xfId="0" applyFont="1" applyFill="1" applyBorder="1" applyAlignment="1">
      <alignment textRotation="90"/>
    </xf>
    <xf numFmtId="0" fontId="1" fillId="2" borderId="9" xfId="0" applyFont="1" applyFill="1" applyBorder="1"/>
    <xf numFmtId="0" fontId="1" fillId="2" borderId="10" xfId="0" applyFont="1" applyFill="1" applyBorder="1" applyProtection="1">
      <protection locked="0"/>
    </xf>
    <xf numFmtId="0" fontId="1" fillId="14" borderId="22" xfId="0" applyFont="1" applyFill="1" applyBorder="1"/>
    <xf numFmtId="0" fontId="1" fillId="9" borderId="9" xfId="0" applyFont="1" applyFill="1" applyBorder="1" applyAlignment="1">
      <alignment textRotation="90"/>
    </xf>
    <xf numFmtId="0" fontId="1" fillId="9" borderId="10" xfId="0" applyFont="1" applyFill="1" applyBorder="1" applyAlignment="1">
      <alignment textRotation="90"/>
    </xf>
    <xf numFmtId="0" fontId="1" fillId="10" borderId="10" xfId="0" applyFont="1" applyFill="1" applyBorder="1" applyAlignment="1">
      <alignment textRotation="90"/>
    </xf>
    <xf numFmtId="0" fontId="1" fillId="12" borderId="10" xfId="0" applyFont="1" applyFill="1" applyBorder="1" applyAlignment="1">
      <alignment textRotation="90"/>
    </xf>
    <xf numFmtId="0" fontId="1" fillId="11" borderId="10" xfId="0" applyFont="1" applyFill="1" applyBorder="1" applyAlignment="1">
      <alignment textRotation="90"/>
    </xf>
    <xf numFmtId="0" fontId="1" fillId="13" borderId="10" xfId="0" applyFont="1" applyFill="1" applyBorder="1" applyAlignment="1">
      <alignment textRotation="90"/>
    </xf>
    <xf numFmtId="0" fontId="1" fillId="0" borderId="1" xfId="0" applyFont="1" applyBorder="1"/>
    <xf numFmtId="0" fontId="1" fillId="0" borderId="8" xfId="0" applyFont="1" applyBorder="1"/>
    <xf numFmtId="0" fontId="1" fillId="0" borderId="7" xfId="0" applyFont="1" applyBorder="1"/>
    <xf numFmtId="0" fontId="1" fillId="0" borderId="9" xfId="0" applyFont="1" applyBorder="1"/>
    <xf numFmtId="0" fontId="1" fillId="0" borderId="11" xfId="0" applyFont="1" applyBorder="1"/>
    <xf numFmtId="0" fontId="1" fillId="0" borderId="43" xfId="0" applyFont="1" applyBorder="1"/>
    <xf numFmtId="0" fontId="1" fillId="0" borderId="0" xfId="0" applyFont="1"/>
    <xf numFmtId="0" fontId="1" fillId="0" borderId="44" xfId="0" applyFont="1" applyBorder="1"/>
    <xf numFmtId="0" fontId="1" fillId="0" borderId="10" xfId="0" applyFont="1" applyBorder="1"/>
  </cellXfs>
  <cellStyles count="1">
    <cellStyle name="Normal" xfId="0" builtinId="0"/>
  </cellStyles>
  <dxfs count="17">
    <dxf>
      <fill>
        <patternFill>
          <bgColor rgb="FF92D050"/>
        </patternFill>
      </fill>
    </dxf>
    <dxf>
      <fill>
        <patternFill>
          <bgColor rgb="FFFFFF00"/>
        </patternFill>
      </fill>
    </dxf>
    <dxf>
      <fill>
        <patternFill>
          <bgColor rgb="FFFFC000"/>
        </patternFill>
      </fill>
    </dxf>
    <dxf>
      <fill>
        <patternFill>
          <bgColor rgb="FFE0301E"/>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
      <font>
        <color theme="3"/>
      </font>
      <fill>
        <patternFill>
          <bgColor theme="3"/>
        </patternFill>
      </fill>
    </dxf>
  </dxfs>
  <tableStyles count="0" defaultTableStyle="TableStyleMedium9" defaultPivotStyle="PivotStyleLight16"/>
  <colors>
    <mruColors>
      <color rgb="FFE0301E"/>
      <color rgb="FFDC6900"/>
      <color rgb="FFFFB600"/>
      <color rgb="FFA32020"/>
      <color rgb="FF602320"/>
      <color rgb="FFDB536A"/>
      <color rgb="FFF9D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view="pageLayout" topLeftCell="A7" zoomScaleNormal="100" workbookViewId="0">
      <selection activeCell="A10" sqref="A10"/>
    </sheetView>
  </sheetViews>
  <sheetFormatPr defaultRowHeight="12.6"/>
  <cols>
    <col min="1" max="1" width="89.140625" customWidth="1"/>
  </cols>
  <sheetData>
    <row r="1" spans="1:1" ht="18">
      <c r="A1" s="86" t="s">
        <v>0</v>
      </c>
    </row>
    <row r="3" spans="1:1" ht="37.5">
      <c r="A3" s="87" t="s">
        <v>1</v>
      </c>
    </row>
    <row r="4" spans="1:1" ht="50.1">
      <c r="A4" s="123" t="s">
        <v>2</v>
      </c>
    </row>
    <row r="5" spans="1:1" ht="50.1">
      <c r="A5" s="124" t="s">
        <v>3</v>
      </c>
    </row>
    <row r="6" spans="1:1" ht="50.1">
      <c r="A6" s="124" t="s">
        <v>4</v>
      </c>
    </row>
    <row r="7" spans="1:1" ht="37.5">
      <c r="A7" s="124" t="s">
        <v>5</v>
      </c>
    </row>
    <row r="8" spans="1:1" ht="37.5">
      <c r="A8" s="124" t="s">
        <v>6</v>
      </c>
    </row>
    <row r="9" spans="1:1" ht="37.5">
      <c r="A9" s="124" t="s">
        <v>7</v>
      </c>
    </row>
    <row r="10" spans="1:1" ht="37.5">
      <c r="A10" s="124" t="s">
        <v>8</v>
      </c>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O65"/>
  <sheetViews>
    <sheetView tabSelected="1" zoomScale="80" zoomScaleNormal="80" workbookViewId="0">
      <pane ySplit="4" topLeftCell="A5" activePane="bottomLeft" state="frozen"/>
      <selection pane="bottomLeft" activeCell="BI46" sqref="BI46"/>
    </sheetView>
  </sheetViews>
  <sheetFormatPr defaultColWidth="8.85546875" defaultRowHeight="12.6"/>
  <cols>
    <col min="1" max="1" width="32" style="4" customWidth="1"/>
    <col min="2" max="3" width="10.28515625" style="4" customWidth="1"/>
    <col min="4" max="4" width="8.7109375" style="4" hidden="1" customWidth="1"/>
    <col min="5" max="5" width="7.5703125" style="4" bestFit="1" customWidth="1"/>
    <col min="6" max="7" width="10.28515625" style="4" customWidth="1"/>
    <col min="8" max="8" width="2.7109375" style="4" customWidth="1"/>
    <col min="9" max="13" width="2.7109375" style="7" customWidth="1"/>
    <col min="14" max="14" width="6.7109375" style="4" customWidth="1"/>
    <col min="15" max="29" width="2.85546875" style="8" customWidth="1"/>
    <col min="30" max="67" width="2.85546875" style="4" customWidth="1"/>
    <col min="68" max="16384" width="8.85546875" style="4"/>
  </cols>
  <sheetData>
    <row r="1" spans="1:67" ht="22.9" customHeight="1" thickBot="1">
      <c r="A1" s="120" t="s">
        <v>9</v>
      </c>
      <c r="B1" s="120"/>
      <c r="C1" s="120"/>
      <c r="D1" s="120"/>
      <c r="E1" s="120"/>
      <c r="F1" s="120"/>
      <c r="G1" s="88"/>
      <c r="I1" s="4"/>
      <c r="J1" s="4"/>
      <c r="K1" s="4"/>
      <c r="L1" s="4"/>
      <c r="M1" s="4"/>
      <c r="O1" s="4"/>
      <c r="P1" s="4"/>
      <c r="Q1" s="4"/>
      <c r="R1" s="4"/>
      <c r="S1" s="4"/>
      <c r="T1" s="4"/>
      <c r="U1" s="4"/>
      <c r="V1" s="4"/>
      <c r="W1" s="4"/>
      <c r="X1" s="4"/>
      <c r="Y1" s="4"/>
      <c r="Z1" s="4"/>
      <c r="AA1" s="4"/>
      <c r="AB1" s="4"/>
      <c r="AC1" s="4"/>
    </row>
    <row r="2" spans="1:67" ht="22.9" customHeight="1">
      <c r="A2" s="117" t="s">
        <v>10</v>
      </c>
      <c r="B2" s="125" t="s">
        <v>11</v>
      </c>
      <c r="C2" s="125" t="s">
        <v>12</v>
      </c>
      <c r="D2" s="126" t="s">
        <v>13</v>
      </c>
      <c r="E2" s="125" t="s">
        <v>14</v>
      </c>
      <c r="F2" s="125" t="s">
        <v>15</v>
      </c>
      <c r="G2" s="127" t="s">
        <v>16</v>
      </c>
      <c r="H2" s="96" t="s">
        <v>17</v>
      </c>
      <c r="I2" s="97"/>
      <c r="J2" s="97"/>
      <c r="K2" s="97"/>
      <c r="L2" s="97"/>
      <c r="M2" s="98"/>
      <c r="N2" s="109" t="s">
        <v>18</v>
      </c>
      <c r="O2" s="96" t="s">
        <v>19</v>
      </c>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8"/>
    </row>
    <row r="3" spans="1:67" ht="22.9" customHeight="1">
      <c r="A3" s="118"/>
      <c r="B3" s="128"/>
      <c r="C3" s="128"/>
      <c r="D3" s="128"/>
      <c r="E3" s="128"/>
      <c r="F3" s="128"/>
      <c r="G3" s="129"/>
      <c r="H3" s="121"/>
      <c r="I3" s="102"/>
      <c r="J3" s="102"/>
      <c r="K3" s="102"/>
      <c r="L3" s="102"/>
      <c r="M3" s="94"/>
      <c r="N3" s="110"/>
      <c r="O3" s="106" t="s">
        <v>20</v>
      </c>
      <c r="P3" s="99"/>
      <c r="Q3" s="99"/>
      <c r="R3" s="99"/>
      <c r="S3" s="99"/>
      <c r="T3" s="100" t="s">
        <v>21</v>
      </c>
      <c r="U3" s="100"/>
      <c r="V3" s="100"/>
      <c r="W3" s="100"/>
      <c r="X3" s="107" t="s">
        <v>22</v>
      </c>
      <c r="Y3" s="107"/>
      <c r="Z3" s="107"/>
      <c r="AA3" s="107"/>
      <c r="AB3" s="108" t="s">
        <v>23</v>
      </c>
      <c r="AC3" s="108"/>
      <c r="AD3" s="108"/>
      <c r="AE3" s="108"/>
      <c r="AF3" s="108"/>
      <c r="AG3" s="101" t="s">
        <v>24</v>
      </c>
      <c r="AH3" s="101"/>
      <c r="AI3" s="101"/>
      <c r="AJ3" s="101"/>
      <c r="AK3" s="92" t="s">
        <v>25</v>
      </c>
      <c r="AL3" s="92"/>
      <c r="AM3" s="92"/>
      <c r="AN3" s="92"/>
      <c r="AO3" s="99" t="s">
        <v>26</v>
      </c>
      <c r="AP3" s="99"/>
      <c r="AQ3" s="99"/>
      <c r="AR3" s="99"/>
      <c r="AS3" s="99"/>
      <c r="AT3" s="100" t="s">
        <v>27</v>
      </c>
      <c r="AU3" s="100"/>
      <c r="AV3" s="100"/>
      <c r="AW3" s="100"/>
      <c r="AX3" s="114" t="s">
        <v>28</v>
      </c>
      <c r="AY3" s="115"/>
      <c r="AZ3" s="115"/>
      <c r="BA3" s="115"/>
      <c r="BB3" s="116"/>
      <c r="BC3" s="111" t="s">
        <v>29</v>
      </c>
      <c r="BD3" s="112"/>
      <c r="BE3" s="112"/>
      <c r="BF3" s="113"/>
      <c r="BG3" s="101" t="s">
        <v>30</v>
      </c>
      <c r="BH3" s="101"/>
      <c r="BI3" s="101"/>
      <c r="BJ3" s="101"/>
      <c r="BK3" s="92" t="s">
        <v>31</v>
      </c>
      <c r="BL3" s="92"/>
      <c r="BM3" s="92"/>
      <c r="BN3" s="92"/>
      <c r="BO3" s="93"/>
    </row>
    <row r="4" spans="1:67" ht="54.95" thickBot="1">
      <c r="A4" s="119"/>
      <c r="B4" s="130"/>
      <c r="C4" s="130"/>
      <c r="D4" s="128"/>
      <c r="E4" s="130"/>
      <c r="F4" s="130"/>
      <c r="G4" s="131"/>
      <c r="H4" s="122"/>
      <c r="I4" s="103"/>
      <c r="J4" s="103"/>
      <c r="K4" s="103"/>
      <c r="L4" s="103"/>
      <c r="M4" s="95"/>
      <c r="N4" s="110"/>
      <c r="O4" s="132">
        <v>45292</v>
      </c>
      <c r="P4" s="133">
        <f>O4+7</f>
        <v>45299</v>
      </c>
      <c r="Q4" s="133">
        <f t="shared" ref="Q4:BO4" si="0">P4+7</f>
        <v>45306</v>
      </c>
      <c r="R4" s="133">
        <f t="shared" si="0"/>
        <v>45313</v>
      </c>
      <c r="S4" s="133">
        <f t="shared" si="0"/>
        <v>45320</v>
      </c>
      <c r="T4" s="134">
        <f t="shared" si="0"/>
        <v>45327</v>
      </c>
      <c r="U4" s="134">
        <f t="shared" si="0"/>
        <v>45334</v>
      </c>
      <c r="V4" s="134">
        <f t="shared" si="0"/>
        <v>45341</v>
      </c>
      <c r="W4" s="134">
        <f t="shared" si="0"/>
        <v>45348</v>
      </c>
      <c r="X4" s="135">
        <f t="shared" si="0"/>
        <v>45355</v>
      </c>
      <c r="Y4" s="135">
        <f t="shared" si="0"/>
        <v>45362</v>
      </c>
      <c r="Z4" s="135">
        <f t="shared" si="0"/>
        <v>45369</v>
      </c>
      <c r="AA4" s="135">
        <f t="shared" si="0"/>
        <v>45376</v>
      </c>
      <c r="AB4" s="136">
        <f t="shared" si="0"/>
        <v>45383</v>
      </c>
      <c r="AC4" s="136">
        <f t="shared" si="0"/>
        <v>45390</v>
      </c>
      <c r="AD4" s="136">
        <f t="shared" si="0"/>
        <v>45397</v>
      </c>
      <c r="AE4" s="136">
        <f t="shared" si="0"/>
        <v>45404</v>
      </c>
      <c r="AF4" s="136">
        <f t="shared" si="0"/>
        <v>45411</v>
      </c>
      <c r="AG4" s="137">
        <f t="shared" si="0"/>
        <v>45418</v>
      </c>
      <c r="AH4" s="137">
        <f t="shared" si="0"/>
        <v>45425</v>
      </c>
      <c r="AI4" s="137">
        <f t="shared" si="0"/>
        <v>45432</v>
      </c>
      <c r="AJ4" s="137">
        <f t="shared" si="0"/>
        <v>45439</v>
      </c>
      <c r="AK4" s="138">
        <f t="shared" si="0"/>
        <v>45446</v>
      </c>
      <c r="AL4" s="138">
        <f t="shared" si="0"/>
        <v>45453</v>
      </c>
      <c r="AM4" s="138">
        <f t="shared" si="0"/>
        <v>45460</v>
      </c>
      <c r="AN4" s="138">
        <f t="shared" si="0"/>
        <v>45467</v>
      </c>
      <c r="AO4" s="133">
        <f t="shared" si="0"/>
        <v>45474</v>
      </c>
      <c r="AP4" s="133">
        <f t="shared" si="0"/>
        <v>45481</v>
      </c>
      <c r="AQ4" s="133">
        <f t="shared" si="0"/>
        <v>45488</v>
      </c>
      <c r="AR4" s="133">
        <f t="shared" si="0"/>
        <v>45495</v>
      </c>
      <c r="AS4" s="133">
        <f t="shared" si="0"/>
        <v>45502</v>
      </c>
      <c r="AT4" s="134">
        <f t="shared" si="0"/>
        <v>45509</v>
      </c>
      <c r="AU4" s="134">
        <f t="shared" si="0"/>
        <v>45516</v>
      </c>
      <c r="AV4" s="134">
        <f t="shared" si="0"/>
        <v>45523</v>
      </c>
      <c r="AW4" s="134">
        <f t="shared" si="0"/>
        <v>45530</v>
      </c>
      <c r="AX4" s="135">
        <f t="shared" si="0"/>
        <v>45537</v>
      </c>
      <c r="AY4" s="135">
        <f t="shared" si="0"/>
        <v>45544</v>
      </c>
      <c r="AZ4" s="135">
        <f t="shared" si="0"/>
        <v>45551</v>
      </c>
      <c r="BA4" s="135">
        <f t="shared" si="0"/>
        <v>45558</v>
      </c>
      <c r="BB4" s="135">
        <f t="shared" si="0"/>
        <v>45565</v>
      </c>
      <c r="BC4" s="136">
        <f t="shared" si="0"/>
        <v>45572</v>
      </c>
      <c r="BD4" s="136">
        <f t="shared" si="0"/>
        <v>45579</v>
      </c>
      <c r="BE4" s="136">
        <f t="shared" si="0"/>
        <v>45586</v>
      </c>
      <c r="BF4" s="136">
        <f t="shared" si="0"/>
        <v>45593</v>
      </c>
      <c r="BG4" s="137">
        <f t="shared" si="0"/>
        <v>45600</v>
      </c>
      <c r="BH4" s="137">
        <f t="shared" si="0"/>
        <v>45607</v>
      </c>
      <c r="BI4" s="137">
        <f t="shared" si="0"/>
        <v>45614</v>
      </c>
      <c r="BJ4" s="137">
        <f t="shared" si="0"/>
        <v>45621</v>
      </c>
      <c r="BK4" s="138">
        <f t="shared" si="0"/>
        <v>45628</v>
      </c>
      <c r="BL4" s="138">
        <f t="shared" si="0"/>
        <v>45635</v>
      </c>
      <c r="BM4" s="138">
        <f t="shared" si="0"/>
        <v>45642</v>
      </c>
      <c r="BN4" s="138">
        <f t="shared" si="0"/>
        <v>45649</v>
      </c>
      <c r="BO4" s="139">
        <f t="shared" si="0"/>
        <v>45656</v>
      </c>
    </row>
    <row r="5" spans="1:67" ht="13.5" thickBot="1">
      <c r="A5" s="89"/>
      <c r="B5" s="90"/>
      <c r="C5" s="90"/>
      <c r="D5" s="90"/>
      <c r="E5" s="90"/>
      <c r="F5" s="90"/>
      <c r="G5" s="90"/>
      <c r="H5" s="104"/>
      <c r="I5" s="104"/>
      <c r="J5" s="104"/>
      <c r="K5" s="104"/>
      <c r="L5" s="104"/>
      <c r="M5" s="104"/>
      <c r="N5" s="90"/>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5"/>
    </row>
    <row r="6" spans="1:67" ht="13.5" customHeight="1">
      <c r="A6" s="140"/>
      <c r="B6" s="44" t="s">
        <v>32</v>
      </c>
      <c r="C6" s="44" t="s">
        <v>33</v>
      </c>
      <c r="D6" s="45">
        <f>VLOOKUP(B6,Inputs!$I$6:$N$10,MATCH(C6,Inputs!$I$5:$N$5,0),0)</f>
        <v>15</v>
      </c>
      <c r="E6" s="45" t="str">
        <f>VLOOKUP(D6,Inputs!$A$10:$B$34,2)</f>
        <v>Medium</v>
      </c>
      <c r="F6" s="46" t="str">
        <f>VLOOKUP(D6,Inputs!$A$10:$C$34,3)</f>
        <v>Biannual</v>
      </c>
      <c r="G6" s="83"/>
      <c r="H6" s="141"/>
      <c r="I6" s="47"/>
      <c r="J6" s="47"/>
      <c r="K6" s="47"/>
      <c r="L6" s="48"/>
      <c r="M6" s="48"/>
      <c r="N6" s="49"/>
      <c r="O6" s="142"/>
      <c r="P6" s="143"/>
      <c r="Q6" s="143"/>
      <c r="R6" s="143"/>
      <c r="S6" s="143"/>
      <c r="T6" s="144"/>
      <c r="U6" s="144"/>
      <c r="V6" s="144"/>
      <c r="W6" s="144"/>
      <c r="X6" s="145"/>
      <c r="Y6" s="145"/>
      <c r="Z6" s="145"/>
      <c r="AA6" s="145"/>
      <c r="AB6" s="146"/>
      <c r="AC6" s="146"/>
      <c r="AD6" s="50"/>
      <c r="AE6" s="50"/>
      <c r="AF6" s="50"/>
      <c r="AG6" s="51"/>
      <c r="AH6" s="51"/>
      <c r="AI6" s="51"/>
      <c r="AJ6" s="51"/>
      <c r="AK6" s="52"/>
      <c r="AL6" s="52"/>
      <c r="AM6" s="52"/>
      <c r="AN6" s="52"/>
      <c r="AO6" s="53"/>
      <c r="AP6" s="53"/>
      <c r="AQ6" s="53"/>
      <c r="AR6" s="53"/>
      <c r="AS6" s="53"/>
      <c r="AT6" s="144"/>
      <c r="AU6" s="144"/>
      <c r="AV6" s="144"/>
      <c r="AW6" s="144"/>
      <c r="AX6" s="145"/>
      <c r="AY6" s="145"/>
      <c r="AZ6" s="145"/>
      <c r="BA6" s="145"/>
      <c r="BB6" s="145"/>
      <c r="BC6" s="146"/>
      <c r="BD6" s="50"/>
      <c r="BE6" s="50"/>
      <c r="BF6" s="50"/>
      <c r="BG6" s="51"/>
      <c r="BH6" s="51"/>
      <c r="BI6" s="51"/>
      <c r="BJ6" s="51"/>
      <c r="BK6" s="52"/>
      <c r="BL6" s="52"/>
      <c r="BM6" s="52"/>
      <c r="BN6" s="52"/>
      <c r="BO6" s="54"/>
    </row>
    <row r="7" spans="1:67">
      <c r="A7" s="147"/>
      <c r="B7" s="148" t="s">
        <v>32</v>
      </c>
      <c r="C7" s="148" t="s">
        <v>33</v>
      </c>
      <c r="D7" s="2">
        <f>VLOOKUP(B7,Inputs!$I$6:$N$10,MATCH(C7,Inputs!$I$5:$N$5,0),0)</f>
        <v>15</v>
      </c>
      <c r="E7" s="2" t="str">
        <f>VLOOKUP(D7,Inputs!$A$10:$B$34,2)</f>
        <v>Medium</v>
      </c>
      <c r="F7" s="15" t="str">
        <f>VLOOKUP(D7,Inputs!$A$10:$C$34,3)</f>
        <v>Biannual</v>
      </c>
      <c r="G7" s="80"/>
      <c r="H7" s="149"/>
      <c r="I7" s="3"/>
      <c r="J7" s="3"/>
      <c r="K7" s="3"/>
      <c r="L7" s="18"/>
      <c r="M7" s="18"/>
      <c r="N7" s="43"/>
      <c r="O7" s="150"/>
      <c r="P7" s="151"/>
      <c r="Q7" s="151"/>
      <c r="R7" s="151"/>
      <c r="S7" s="151"/>
      <c r="T7" s="152"/>
      <c r="U7" s="152"/>
      <c r="V7" s="152"/>
      <c r="W7" s="152"/>
      <c r="X7" s="153"/>
      <c r="Y7" s="153"/>
      <c r="Z7" s="153"/>
      <c r="AA7" s="153"/>
      <c r="AB7" s="154"/>
      <c r="AC7" s="154"/>
      <c r="AD7" s="23"/>
      <c r="AE7" s="23"/>
      <c r="AF7" s="23"/>
      <c r="AG7" s="27"/>
      <c r="AH7" s="27"/>
      <c r="AI7" s="27"/>
      <c r="AJ7" s="27"/>
      <c r="AK7" s="29"/>
      <c r="AL7" s="29"/>
      <c r="AM7" s="29"/>
      <c r="AN7" s="29"/>
      <c r="AO7" s="31"/>
      <c r="AP7" s="31"/>
      <c r="AQ7" s="31"/>
      <c r="AR7" s="31"/>
      <c r="AS7" s="31"/>
      <c r="AT7" s="152"/>
      <c r="AU7" s="152"/>
      <c r="AV7" s="152"/>
      <c r="AW7" s="152"/>
      <c r="AX7" s="153"/>
      <c r="AY7" s="153"/>
      <c r="AZ7" s="153"/>
      <c r="BA7" s="153"/>
      <c r="BB7" s="153"/>
      <c r="BC7" s="154"/>
      <c r="BD7" s="23"/>
      <c r="BE7" s="23"/>
      <c r="BF7" s="23"/>
      <c r="BG7" s="27"/>
      <c r="BH7" s="27"/>
      <c r="BI7" s="27"/>
      <c r="BJ7" s="27"/>
      <c r="BK7" s="29"/>
      <c r="BL7" s="29"/>
      <c r="BM7" s="29"/>
      <c r="BN7" s="29"/>
      <c r="BO7" s="33"/>
    </row>
    <row r="8" spans="1:67">
      <c r="A8" s="147"/>
      <c r="B8" s="148" t="s">
        <v>32</v>
      </c>
      <c r="C8" s="148" t="s">
        <v>33</v>
      </c>
      <c r="D8" s="2">
        <f>VLOOKUP(B8,Inputs!$I$6:$N$10,MATCH(C8,Inputs!$I$5:$N$5,0),0)</f>
        <v>15</v>
      </c>
      <c r="E8" s="2" t="str">
        <f>VLOOKUP(D8,Inputs!$A$10:$B$34,2)</f>
        <v>Medium</v>
      </c>
      <c r="F8" s="15" t="str">
        <f>VLOOKUP(D8,Inputs!$A$10:$C$34,3)</f>
        <v>Biannual</v>
      </c>
      <c r="G8" s="80"/>
      <c r="H8" s="77"/>
      <c r="I8" s="3"/>
      <c r="J8" s="3"/>
      <c r="K8" s="3"/>
      <c r="L8" s="18"/>
      <c r="M8" s="18"/>
      <c r="N8" s="43"/>
      <c r="O8" s="150"/>
      <c r="P8" s="151"/>
      <c r="Q8" s="151"/>
      <c r="R8" s="151"/>
      <c r="S8" s="151"/>
      <c r="T8" s="152"/>
      <c r="U8" s="152"/>
      <c r="V8" s="152"/>
      <c r="W8" s="152"/>
      <c r="X8" s="153"/>
      <c r="Y8" s="153"/>
      <c r="Z8" s="153"/>
      <c r="AA8" s="153"/>
      <c r="AB8" s="154"/>
      <c r="AC8" s="154"/>
      <c r="AD8" s="23"/>
      <c r="AE8" s="23"/>
      <c r="AF8" s="154"/>
      <c r="AG8" s="27"/>
      <c r="AH8" s="27"/>
      <c r="AI8" s="27"/>
      <c r="AJ8" s="27"/>
      <c r="AK8" s="29"/>
      <c r="AL8" s="29"/>
      <c r="AM8" s="29"/>
      <c r="AN8" s="29"/>
      <c r="AO8" s="31"/>
      <c r="AP8" s="31"/>
      <c r="AQ8" s="31"/>
      <c r="AR8" s="31"/>
      <c r="AS8" s="151"/>
      <c r="AT8" s="152"/>
      <c r="AU8" s="152"/>
      <c r="AV8" s="152"/>
      <c r="AW8" s="152"/>
      <c r="AX8" s="153"/>
      <c r="AY8" s="153"/>
      <c r="AZ8" s="153"/>
      <c r="BA8" s="153"/>
      <c r="BB8" s="153"/>
      <c r="BC8" s="154"/>
      <c r="BD8" s="23"/>
      <c r="BE8" s="23"/>
      <c r="BF8" s="154"/>
      <c r="BG8" s="27"/>
      <c r="BH8" s="27"/>
      <c r="BI8" s="27"/>
      <c r="BJ8" s="27"/>
      <c r="BK8" s="29"/>
      <c r="BL8" s="29"/>
      <c r="BM8" s="29"/>
      <c r="BN8" s="29"/>
      <c r="BO8" s="33"/>
    </row>
    <row r="9" spans="1:67">
      <c r="A9" s="147"/>
      <c r="B9" s="148" t="s">
        <v>32</v>
      </c>
      <c r="C9" s="148" t="s">
        <v>33</v>
      </c>
      <c r="D9" s="2">
        <f>VLOOKUP(B9,Inputs!$I$6:$N$10,MATCH(C9,Inputs!$I$5:$N$5,0),0)</f>
        <v>15</v>
      </c>
      <c r="E9" s="2" t="str">
        <f>VLOOKUP(D9,Inputs!$A$10:$B$34,2)</f>
        <v>Medium</v>
      </c>
      <c r="F9" s="15" t="str">
        <f>VLOOKUP(D9,Inputs!$A$10:$C$34,3)</f>
        <v>Biannual</v>
      </c>
      <c r="G9" s="80"/>
      <c r="H9" s="77"/>
      <c r="I9" s="3"/>
      <c r="J9" s="3"/>
      <c r="K9" s="3"/>
      <c r="L9" s="18"/>
      <c r="M9" s="18"/>
      <c r="N9" s="43"/>
      <c r="O9" s="150"/>
      <c r="P9" s="151"/>
      <c r="Q9" s="151"/>
      <c r="R9" s="151"/>
      <c r="S9" s="151"/>
      <c r="T9" s="21"/>
      <c r="U9" s="152"/>
      <c r="V9" s="152"/>
      <c r="W9" s="152"/>
      <c r="X9" s="153"/>
      <c r="Y9" s="153"/>
      <c r="Z9" s="25"/>
      <c r="AA9" s="153"/>
      <c r="AB9" s="154"/>
      <c r="AC9" s="154"/>
      <c r="AD9" s="23"/>
      <c r="AE9" s="23"/>
      <c r="AF9" s="23"/>
      <c r="AG9" s="27"/>
      <c r="AH9" s="27"/>
      <c r="AI9" s="27"/>
      <c r="AJ9" s="27"/>
      <c r="AK9" s="29"/>
      <c r="AL9" s="29"/>
      <c r="AM9" s="29"/>
      <c r="AN9" s="29"/>
      <c r="AO9" s="31"/>
      <c r="AP9" s="31"/>
      <c r="AQ9" s="31"/>
      <c r="AR9" s="31"/>
      <c r="AS9" s="31"/>
      <c r="AT9" s="21"/>
      <c r="AU9" s="152"/>
      <c r="AV9" s="152"/>
      <c r="AW9" s="152"/>
      <c r="AX9" s="153"/>
      <c r="AY9" s="153"/>
      <c r="AZ9" s="25"/>
      <c r="BA9" s="153"/>
      <c r="BB9" s="153"/>
      <c r="BC9" s="154"/>
      <c r="BD9" s="23"/>
      <c r="BE9" s="23"/>
      <c r="BF9" s="23"/>
      <c r="BG9" s="27"/>
      <c r="BH9" s="27"/>
      <c r="BI9" s="27"/>
      <c r="BJ9" s="27"/>
      <c r="BK9" s="29"/>
      <c r="BL9" s="29"/>
      <c r="BM9" s="29"/>
      <c r="BN9" s="29"/>
      <c r="BO9" s="33"/>
    </row>
    <row r="10" spans="1:67" ht="12.95" thickBot="1">
      <c r="A10" s="155"/>
      <c r="B10" s="156" t="s">
        <v>32</v>
      </c>
      <c r="C10" s="156" t="s">
        <v>33</v>
      </c>
      <c r="D10" s="55">
        <f>VLOOKUP(B10,Inputs!$I$6:$N$10,MATCH(C10,Inputs!$I$5:$N$5,0),0)</f>
        <v>15</v>
      </c>
      <c r="E10" s="55" t="str">
        <f>VLOOKUP(D10,Inputs!$A$10:$B$34,2)</f>
        <v>Medium</v>
      </c>
      <c r="F10" s="56" t="str">
        <f>VLOOKUP(D10,Inputs!$A$10:$C$34,3)</f>
        <v>Biannual</v>
      </c>
      <c r="G10" s="82"/>
      <c r="H10" s="78"/>
      <c r="I10" s="57"/>
      <c r="J10" s="57"/>
      <c r="K10" s="57"/>
      <c r="L10" s="58"/>
      <c r="M10" s="58"/>
      <c r="N10" s="59"/>
      <c r="O10" s="157"/>
      <c r="P10" s="158"/>
      <c r="Q10" s="158"/>
      <c r="R10" s="158"/>
      <c r="S10" s="158"/>
      <c r="T10" s="60"/>
      <c r="U10" s="159"/>
      <c r="V10" s="159"/>
      <c r="W10" s="159"/>
      <c r="X10" s="160"/>
      <c r="Y10" s="160"/>
      <c r="Z10" s="61"/>
      <c r="AA10" s="160"/>
      <c r="AB10" s="161"/>
      <c r="AC10" s="161"/>
      <c r="AD10" s="62"/>
      <c r="AE10" s="62"/>
      <c r="AF10" s="62"/>
      <c r="AG10" s="63"/>
      <c r="AH10" s="63"/>
      <c r="AI10" s="162"/>
      <c r="AJ10" s="63"/>
      <c r="AK10" s="64"/>
      <c r="AL10" s="64"/>
      <c r="AM10" s="64"/>
      <c r="AN10" s="64"/>
      <c r="AO10" s="65"/>
      <c r="AP10" s="65"/>
      <c r="AQ10" s="65"/>
      <c r="AR10" s="65"/>
      <c r="AS10" s="65"/>
      <c r="AT10" s="60"/>
      <c r="AU10" s="159"/>
      <c r="AV10" s="159"/>
      <c r="AW10" s="159"/>
      <c r="AX10" s="160"/>
      <c r="AY10" s="160"/>
      <c r="AZ10" s="61"/>
      <c r="BA10" s="160"/>
      <c r="BB10" s="160"/>
      <c r="BC10" s="161"/>
      <c r="BD10" s="62"/>
      <c r="BE10" s="62"/>
      <c r="BF10" s="62"/>
      <c r="BG10" s="63"/>
      <c r="BH10" s="63"/>
      <c r="BI10" s="162"/>
      <c r="BJ10" s="63"/>
      <c r="BK10" s="64"/>
      <c r="BL10" s="64"/>
      <c r="BM10" s="64"/>
      <c r="BN10" s="64"/>
      <c r="BO10" s="66"/>
    </row>
    <row r="11" spans="1:67" ht="13.5" thickBot="1">
      <c r="A11" s="89"/>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1"/>
    </row>
    <row r="12" spans="1:67">
      <c r="A12" s="163"/>
      <c r="B12" s="164" t="s">
        <v>32</v>
      </c>
      <c r="C12" s="164" t="s">
        <v>33</v>
      </c>
      <c r="D12" s="45">
        <f>VLOOKUP(B12,Inputs!$I$6:$N$10,MATCH(C12,Inputs!$I$5:$N$5,0),0)</f>
        <v>15</v>
      </c>
      <c r="E12" s="45" t="str">
        <f>VLOOKUP(D12,Inputs!$A$10:$B$34,2)</f>
        <v>Medium</v>
      </c>
      <c r="F12" s="46" t="str">
        <f>VLOOKUP(D12,Inputs!$A$10:$C$34,3)</f>
        <v>Biannual</v>
      </c>
      <c r="G12" s="83"/>
      <c r="H12" s="141"/>
      <c r="I12" s="47"/>
      <c r="J12" s="47"/>
      <c r="K12" s="47"/>
      <c r="L12" s="48"/>
      <c r="M12" s="48"/>
      <c r="N12" s="49"/>
      <c r="O12" s="142"/>
      <c r="P12" s="143"/>
      <c r="Q12" s="143"/>
      <c r="R12" s="143"/>
      <c r="S12" s="143"/>
      <c r="T12" s="144"/>
      <c r="U12" s="144"/>
      <c r="V12" s="144"/>
      <c r="W12" s="144"/>
      <c r="X12" s="145"/>
      <c r="Y12" s="145"/>
      <c r="Z12" s="145"/>
      <c r="AA12" s="145"/>
      <c r="AB12" s="146"/>
      <c r="AC12" s="146"/>
      <c r="AD12" s="50"/>
      <c r="AE12" s="50"/>
      <c r="AF12" s="50"/>
      <c r="AG12" s="51"/>
      <c r="AH12" s="51"/>
      <c r="AI12" s="51"/>
      <c r="AJ12" s="51"/>
      <c r="AK12" s="52"/>
      <c r="AL12" s="52"/>
      <c r="AM12" s="52"/>
      <c r="AN12" s="52"/>
      <c r="AO12" s="53"/>
      <c r="AP12" s="53"/>
      <c r="AQ12" s="53"/>
      <c r="AR12" s="53"/>
      <c r="AS12" s="53"/>
      <c r="AT12" s="144"/>
      <c r="AU12" s="144"/>
      <c r="AV12" s="144"/>
      <c r="AW12" s="144"/>
      <c r="AX12" s="145"/>
      <c r="AY12" s="145"/>
      <c r="AZ12" s="145"/>
      <c r="BA12" s="145"/>
      <c r="BB12" s="145"/>
      <c r="BC12" s="146"/>
      <c r="BD12" s="50"/>
      <c r="BE12" s="50"/>
      <c r="BF12" s="50"/>
      <c r="BG12" s="51"/>
      <c r="BH12" s="51"/>
      <c r="BI12" s="51"/>
      <c r="BJ12" s="51"/>
      <c r="BK12" s="52"/>
      <c r="BL12" s="52"/>
      <c r="BM12" s="52"/>
      <c r="BN12" s="52"/>
      <c r="BO12" s="54"/>
    </row>
    <row r="13" spans="1:67">
      <c r="A13" s="165"/>
      <c r="B13" s="148" t="s">
        <v>32</v>
      </c>
      <c r="C13" s="148" t="s">
        <v>33</v>
      </c>
      <c r="D13" s="2">
        <f>VLOOKUP(B13,Inputs!$I$6:$N$10,MATCH(C13,Inputs!$I$5:$N$5,0),0)</f>
        <v>15</v>
      </c>
      <c r="E13" s="2" t="str">
        <f>VLOOKUP(D13,Inputs!$A$10:$B$34,2)</f>
        <v>Medium</v>
      </c>
      <c r="F13" s="15" t="str">
        <f>VLOOKUP(D13,Inputs!$A$10:$C$34,3)</f>
        <v>Biannual</v>
      </c>
      <c r="G13" s="80"/>
      <c r="H13" s="149"/>
      <c r="I13" s="3"/>
      <c r="J13" s="3"/>
      <c r="K13" s="3"/>
      <c r="L13" s="18"/>
      <c r="M13" s="18"/>
      <c r="N13" s="166"/>
      <c r="O13" s="150"/>
      <c r="P13" s="151"/>
      <c r="Q13" s="151"/>
      <c r="R13" s="151"/>
      <c r="S13" s="151"/>
      <c r="T13" s="152"/>
      <c r="U13" s="152"/>
      <c r="V13" s="152"/>
      <c r="W13" s="152"/>
      <c r="X13" s="153"/>
      <c r="Y13" s="153"/>
      <c r="Z13" s="153"/>
      <c r="AA13" s="153"/>
      <c r="AB13" s="154"/>
      <c r="AC13" s="154"/>
      <c r="AD13" s="23"/>
      <c r="AE13" s="23"/>
      <c r="AF13" s="23"/>
      <c r="AG13" s="27"/>
      <c r="AH13" s="27"/>
      <c r="AI13" s="27"/>
      <c r="AJ13" s="27"/>
      <c r="AK13" s="29"/>
      <c r="AL13" s="29"/>
      <c r="AM13" s="29"/>
      <c r="AN13" s="29"/>
      <c r="AO13" s="31"/>
      <c r="AP13" s="31"/>
      <c r="AQ13" s="31"/>
      <c r="AR13" s="31"/>
      <c r="AS13" s="31"/>
      <c r="AT13" s="152"/>
      <c r="AU13" s="152"/>
      <c r="AV13" s="152"/>
      <c r="AW13" s="152"/>
      <c r="AX13" s="153"/>
      <c r="AY13" s="153"/>
      <c r="AZ13" s="153"/>
      <c r="BA13" s="153"/>
      <c r="BB13" s="153"/>
      <c r="BC13" s="154"/>
      <c r="BD13" s="23"/>
      <c r="BE13" s="23"/>
      <c r="BF13" s="23"/>
      <c r="BG13" s="27"/>
      <c r="BH13" s="27"/>
      <c r="BI13" s="27"/>
      <c r="BJ13" s="27"/>
      <c r="BK13" s="29"/>
      <c r="BL13" s="29"/>
      <c r="BM13" s="29"/>
      <c r="BN13" s="29"/>
      <c r="BO13" s="33"/>
    </row>
    <row r="14" spans="1:67">
      <c r="A14" s="165"/>
      <c r="B14" s="148" t="s">
        <v>32</v>
      </c>
      <c r="C14" s="148" t="s">
        <v>33</v>
      </c>
      <c r="D14" s="2">
        <f>VLOOKUP(B14,Inputs!$I$6:$N$10,MATCH(C14,Inputs!$I$5:$N$5,0),0)</f>
        <v>15</v>
      </c>
      <c r="E14" s="2" t="str">
        <f>VLOOKUP(D14,Inputs!$A$10:$B$34,2)</f>
        <v>Medium</v>
      </c>
      <c r="F14" s="15" t="str">
        <f>VLOOKUP(D14,Inputs!$A$10:$C$34,3)</f>
        <v>Biannual</v>
      </c>
      <c r="G14" s="80"/>
      <c r="H14" s="77"/>
      <c r="I14" s="3"/>
      <c r="J14" s="3"/>
      <c r="K14" s="3"/>
      <c r="L14" s="18"/>
      <c r="M14" s="18"/>
      <c r="N14" s="166"/>
      <c r="O14" s="150"/>
      <c r="P14" s="151"/>
      <c r="Q14" s="151"/>
      <c r="R14" s="151"/>
      <c r="S14" s="151"/>
      <c r="T14" s="152"/>
      <c r="U14" s="152"/>
      <c r="V14" s="152"/>
      <c r="W14" s="152"/>
      <c r="X14" s="153"/>
      <c r="Y14" s="153"/>
      <c r="Z14" s="153"/>
      <c r="AA14" s="153"/>
      <c r="AB14" s="154"/>
      <c r="AC14" s="154"/>
      <c r="AD14" s="23"/>
      <c r="AE14" s="23"/>
      <c r="AF14" s="154"/>
      <c r="AG14" s="27"/>
      <c r="AH14" s="27"/>
      <c r="AI14" s="27"/>
      <c r="AJ14" s="27"/>
      <c r="AK14" s="29"/>
      <c r="AL14" s="29"/>
      <c r="AM14" s="29"/>
      <c r="AN14" s="29"/>
      <c r="AO14" s="31"/>
      <c r="AP14" s="31"/>
      <c r="AQ14" s="31"/>
      <c r="AR14" s="31"/>
      <c r="AS14" s="151"/>
      <c r="AT14" s="152"/>
      <c r="AU14" s="152"/>
      <c r="AV14" s="152"/>
      <c r="AW14" s="152"/>
      <c r="AX14" s="153"/>
      <c r="AY14" s="153"/>
      <c r="AZ14" s="153"/>
      <c r="BA14" s="153"/>
      <c r="BB14" s="153"/>
      <c r="BC14" s="154"/>
      <c r="BD14" s="23"/>
      <c r="BE14" s="23"/>
      <c r="BF14" s="154"/>
      <c r="BG14" s="27"/>
      <c r="BH14" s="27"/>
      <c r="BI14" s="27"/>
      <c r="BJ14" s="27"/>
      <c r="BK14" s="29"/>
      <c r="BL14" s="29"/>
      <c r="BM14" s="29"/>
      <c r="BN14" s="29"/>
      <c r="BO14" s="33"/>
    </row>
    <row r="15" spans="1:67">
      <c r="A15" s="165"/>
      <c r="B15" s="148" t="s">
        <v>32</v>
      </c>
      <c r="C15" s="148" t="s">
        <v>33</v>
      </c>
      <c r="D15" s="2">
        <f>VLOOKUP(B15,Inputs!$I$6:$N$10,MATCH(C15,Inputs!$I$5:$N$5,0),0)</f>
        <v>15</v>
      </c>
      <c r="E15" s="2" t="str">
        <f>VLOOKUP(D15,Inputs!$A$10:$B$34,2)</f>
        <v>Medium</v>
      </c>
      <c r="F15" s="15" t="str">
        <f>VLOOKUP(D15,Inputs!$A$10:$C$34,3)</f>
        <v>Biannual</v>
      </c>
      <c r="G15" s="80"/>
      <c r="H15" s="77"/>
      <c r="I15" s="3"/>
      <c r="J15" s="3"/>
      <c r="K15" s="3"/>
      <c r="L15" s="18"/>
      <c r="M15" s="18"/>
      <c r="N15" s="166"/>
      <c r="O15" s="150"/>
      <c r="P15" s="151"/>
      <c r="Q15" s="151"/>
      <c r="R15" s="151"/>
      <c r="S15" s="151"/>
      <c r="T15" s="21"/>
      <c r="U15" s="152"/>
      <c r="V15" s="152"/>
      <c r="W15" s="152"/>
      <c r="X15" s="153"/>
      <c r="Y15" s="153"/>
      <c r="Z15" s="25"/>
      <c r="AA15" s="153"/>
      <c r="AB15" s="154"/>
      <c r="AC15" s="154"/>
      <c r="AD15" s="23"/>
      <c r="AE15" s="23"/>
      <c r="AF15" s="23"/>
      <c r="AG15" s="27"/>
      <c r="AH15" s="27"/>
      <c r="AI15" s="27"/>
      <c r="AJ15" s="27"/>
      <c r="AK15" s="29"/>
      <c r="AL15" s="29"/>
      <c r="AM15" s="29"/>
      <c r="AN15" s="29"/>
      <c r="AO15" s="31"/>
      <c r="AP15" s="31"/>
      <c r="AQ15" s="31"/>
      <c r="AR15" s="31"/>
      <c r="AS15" s="31"/>
      <c r="AT15" s="21"/>
      <c r="AU15" s="152"/>
      <c r="AV15" s="152"/>
      <c r="AW15" s="152"/>
      <c r="AX15" s="153"/>
      <c r="AY15" s="153"/>
      <c r="AZ15" s="25"/>
      <c r="BA15" s="153"/>
      <c r="BB15" s="153"/>
      <c r="BC15" s="154"/>
      <c r="BD15" s="23"/>
      <c r="BE15" s="23"/>
      <c r="BF15" s="23"/>
      <c r="BG15" s="27"/>
      <c r="BH15" s="27"/>
      <c r="BI15" s="27"/>
      <c r="BJ15" s="27"/>
      <c r="BK15" s="29"/>
      <c r="BL15" s="29"/>
      <c r="BM15" s="29"/>
      <c r="BN15" s="29"/>
      <c r="BO15" s="33"/>
    </row>
    <row r="16" spans="1:67" ht="12.95" thickBot="1">
      <c r="A16" s="155"/>
      <c r="B16" s="156" t="s">
        <v>32</v>
      </c>
      <c r="C16" s="156" t="s">
        <v>33</v>
      </c>
      <c r="D16" s="55">
        <f>VLOOKUP(B16,Inputs!$I$6:$N$10,MATCH(C16,Inputs!$I$5:$N$5,0),0)</f>
        <v>15</v>
      </c>
      <c r="E16" s="55" t="str">
        <f>VLOOKUP(D16,Inputs!$A$10:$B$34,2)</f>
        <v>Medium</v>
      </c>
      <c r="F16" s="56" t="str">
        <f>VLOOKUP(D16,Inputs!$A$10:$C$34,3)</f>
        <v>Biannual</v>
      </c>
      <c r="G16" s="82"/>
      <c r="H16" s="78"/>
      <c r="I16" s="57"/>
      <c r="J16" s="57"/>
      <c r="K16" s="57"/>
      <c r="L16" s="58"/>
      <c r="M16" s="58"/>
      <c r="N16" s="167"/>
      <c r="O16" s="157"/>
      <c r="P16" s="158"/>
      <c r="Q16" s="158"/>
      <c r="R16" s="158"/>
      <c r="S16" s="158"/>
      <c r="T16" s="60"/>
      <c r="U16" s="159"/>
      <c r="V16" s="159"/>
      <c r="W16" s="159"/>
      <c r="X16" s="160"/>
      <c r="Y16" s="160"/>
      <c r="Z16" s="61"/>
      <c r="AA16" s="160"/>
      <c r="AB16" s="161"/>
      <c r="AC16" s="161"/>
      <c r="AD16" s="62"/>
      <c r="AE16" s="62"/>
      <c r="AF16" s="62"/>
      <c r="AG16" s="63"/>
      <c r="AH16" s="63"/>
      <c r="AI16" s="162"/>
      <c r="AJ16" s="63"/>
      <c r="AK16" s="64"/>
      <c r="AL16" s="64"/>
      <c r="AM16" s="64"/>
      <c r="AN16" s="64"/>
      <c r="AO16" s="65"/>
      <c r="AP16" s="65"/>
      <c r="AQ16" s="65"/>
      <c r="AR16" s="65"/>
      <c r="AS16" s="65"/>
      <c r="AT16" s="60"/>
      <c r="AU16" s="159"/>
      <c r="AV16" s="159"/>
      <c r="AW16" s="159"/>
      <c r="AX16" s="160"/>
      <c r="AY16" s="160"/>
      <c r="AZ16" s="61"/>
      <c r="BA16" s="160"/>
      <c r="BB16" s="160"/>
      <c r="BC16" s="161"/>
      <c r="BD16" s="62"/>
      <c r="BE16" s="62"/>
      <c r="BF16" s="62"/>
      <c r="BG16" s="63"/>
      <c r="BH16" s="63"/>
      <c r="BI16" s="162"/>
      <c r="BJ16" s="63"/>
      <c r="BK16" s="64"/>
      <c r="BL16" s="64"/>
      <c r="BM16" s="64"/>
      <c r="BN16" s="64"/>
      <c r="BO16" s="66"/>
    </row>
    <row r="17" spans="1:67" ht="13.5" thickBot="1">
      <c r="A17" s="89"/>
      <c r="B17" s="90"/>
      <c r="C17" s="90"/>
      <c r="D17" s="90" t="e">
        <f>VLOOKUP(B17,Inputs!$I$6:$N$10,MATCH(C17,Inputs!$I$5:$N$5,0),0)</f>
        <v>#N/A</v>
      </c>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90"/>
      <c r="BC17" s="90"/>
      <c r="BD17" s="90"/>
      <c r="BE17" s="90"/>
      <c r="BF17" s="90"/>
      <c r="BG17" s="90"/>
      <c r="BH17" s="90"/>
      <c r="BI17" s="90"/>
      <c r="BJ17" s="90"/>
      <c r="BK17" s="90"/>
      <c r="BL17" s="90"/>
      <c r="BM17" s="90"/>
      <c r="BN17" s="90"/>
      <c r="BO17" s="91"/>
    </row>
    <row r="18" spans="1:67">
      <c r="A18" s="163"/>
      <c r="B18" s="164" t="s">
        <v>32</v>
      </c>
      <c r="C18" s="164" t="s">
        <v>33</v>
      </c>
      <c r="D18" s="45">
        <f>VLOOKUP(B18,Inputs!$I$6:$N$10,MATCH(C18,Inputs!$I$5:$N$5,0),0)</f>
        <v>15</v>
      </c>
      <c r="E18" s="45" t="str">
        <f>VLOOKUP(D18,Inputs!$A$10:$B$34,2)</f>
        <v>Medium</v>
      </c>
      <c r="F18" s="46" t="str">
        <f>VLOOKUP(D18,Inputs!$A$10:$C$34,3)</f>
        <v>Biannual</v>
      </c>
      <c r="G18" s="83"/>
      <c r="H18" s="141"/>
      <c r="I18" s="47"/>
      <c r="J18" s="47"/>
      <c r="K18" s="47"/>
      <c r="L18" s="48"/>
      <c r="M18" s="48"/>
      <c r="N18" s="168"/>
      <c r="O18" s="142"/>
      <c r="P18" s="143"/>
      <c r="Q18" s="143"/>
      <c r="R18" s="143"/>
      <c r="S18" s="143"/>
      <c r="T18" s="144"/>
      <c r="U18" s="144"/>
      <c r="V18" s="144"/>
      <c r="W18" s="144"/>
      <c r="X18" s="145"/>
      <c r="Y18" s="145"/>
      <c r="Z18" s="145"/>
      <c r="AA18" s="145"/>
      <c r="AB18" s="146"/>
      <c r="AC18" s="146"/>
      <c r="AD18" s="50"/>
      <c r="AE18" s="50"/>
      <c r="AF18" s="50"/>
      <c r="AG18" s="51"/>
      <c r="AH18" s="51"/>
      <c r="AI18" s="51"/>
      <c r="AJ18" s="51"/>
      <c r="AK18" s="52"/>
      <c r="AL18" s="52"/>
      <c r="AM18" s="52"/>
      <c r="AN18" s="52"/>
      <c r="AO18" s="53"/>
      <c r="AP18" s="53"/>
      <c r="AQ18" s="53"/>
      <c r="AR18" s="53"/>
      <c r="AS18" s="53"/>
      <c r="AT18" s="144"/>
      <c r="AU18" s="144"/>
      <c r="AV18" s="144"/>
      <c r="AW18" s="144"/>
      <c r="AX18" s="145"/>
      <c r="AY18" s="145"/>
      <c r="AZ18" s="145"/>
      <c r="BA18" s="145"/>
      <c r="BB18" s="145"/>
      <c r="BC18" s="146"/>
      <c r="BD18" s="50"/>
      <c r="BE18" s="50"/>
      <c r="BF18" s="50"/>
      <c r="BG18" s="51"/>
      <c r="BH18" s="51"/>
      <c r="BI18" s="51"/>
      <c r="BJ18" s="51"/>
      <c r="BK18" s="52"/>
      <c r="BL18" s="52"/>
      <c r="BM18" s="52"/>
      <c r="BN18" s="52"/>
      <c r="BO18" s="54"/>
    </row>
    <row r="19" spans="1:67">
      <c r="A19" s="165"/>
      <c r="B19" s="148" t="s">
        <v>32</v>
      </c>
      <c r="C19" s="148" t="s">
        <v>33</v>
      </c>
      <c r="D19" s="2">
        <f>VLOOKUP(B19,Inputs!$I$6:$N$10,MATCH(C19,Inputs!$I$5:$N$5,0),0)</f>
        <v>15</v>
      </c>
      <c r="E19" s="2" t="str">
        <f>VLOOKUP(D19,Inputs!$A$10:$B$34,2)</f>
        <v>Medium</v>
      </c>
      <c r="F19" s="15" t="str">
        <f>VLOOKUP(D19,Inputs!$A$10:$C$34,3)</f>
        <v>Biannual</v>
      </c>
      <c r="G19" s="80"/>
      <c r="H19" s="149"/>
      <c r="I19" s="3"/>
      <c r="J19" s="3"/>
      <c r="K19" s="3"/>
      <c r="L19" s="18"/>
      <c r="M19" s="18"/>
      <c r="N19" s="166"/>
      <c r="O19" s="150"/>
      <c r="P19" s="151"/>
      <c r="Q19" s="151"/>
      <c r="R19" s="151"/>
      <c r="S19" s="151"/>
      <c r="T19" s="152"/>
      <c r="U19" s="152"/>
      <c r="V19" s="152"/>
      <c r="W19" s="152"/>
      <c r="X19" s="153"/>
      <c r="Y19" s="153"/>
      <c r="Z19" s="153"/>
      <c r="AA19" s="153"/>
      <c r="AB19" s="154"/>
      <c r="AC19" s="154"/>
      <c r="AD19" s="23"/>
      <c r="AE19" s="23"/>
      <c r="AF19" s="23"/>
      <c r="AG19" s="27"/>
      <c r="AH19" s="27"/>
      <c r="AI19" s="27"/>
      <c r="AJ19" s="27"/>
      <c r="AK19" s="29"/>
      <c r="AL19" s="29"/>
      <c r="AM19" s="29"/>
      <c r="AN19" s="29"/>
      <c r="AO19" s="31"/>
      <c r="AP19" s="31"/>
      <c r="AQ19" s="31"/>
      <c r="AR19" s="31"/>
      <c r="AS19" s="31"/>
      <c r="AT19" s="152"/>
      <c r="AU19" s="152"/>
      <c r="AV19" s="152"/>
      <c r="AW19" s="152"/>
      <c r="AX19" s="153"/>
      <c r="AY19" s="153"/>
      <c r="AZ19" s="153"/>
      <c r="BA19" s="153"/>
      <c r="BB19" s="153"/>
      <c r="BC19" s="154"/>
      <c r="BD19" s="23"/>
      <c r="BE19" s="23"/>
      <c r="BF19" s="23"/>
      <c r="BG19" s="27"/>
      <c r="BH19" s="27"/>
      <c r="BI19" s="27"/>
      <c r="BJ19" s="27"/>
      <c r="BK19" s="29"/>
      <c r="BL19" s="29"/>
      <c r="BM19" s="29"/>
      <c r="BN19" s="29"/>
      <c r="BO19" s="33"/>
    </row>
    <row r="20" spans="1:67">
      <c r="A20" s="165"/>
      <c r="B20" s="148" t="s">
        <v>32</v>
      </c>
      <c r="C20" s="148" t="s">
        <v>33</v>
      </c>
      <c r="D20" s="2">
        <f>VLOOKUP(B20,Inputs!$I$6:$N$10,MATCH(C20,Inputs!$I$5:$N$5,0),0)</f>
        <v>15</v>
      </c>
      <c r="E20" s="2" t="str">
        <f>VLOOKUP(D20,Inputs!$A$10:$B$34,2)</f>
        <v>Medium</v>
      </c>
      <c r="F20" s="15" t="str">
        <f>VLOOKUP(D20,Inputs!$A$10:$C$34,3)</f>
        <v>Biannual</v>
      </c>
      <c r="G20" s="80"/>
      <c r="H20" s="77"/>
      <c r="I20" s="3"/>
      <c r="J20" s="3"/>
      <c r="K20" s="3"/>
      <c r="L20" s="18"/>
      <c r="M20" s="18"/>
      <c r="N20" s="166"/>
      <c r="O20" s="150"/>
      <c r="P20" s="151"/>
      <c r="Q20" s="151"/>
      <c r="R20" s="151"/>
      <c r="S20" s="151"/>
      <c r="T20" s="152"/>
      <c r="U20" s="152"/>
      <c r="V20" s="152"/>
      <c r="W20" s="152"/>
      <c r="X20" s="153"/>
      <c r="Y20" s="153"/>
      <c r="Z20" s="153"/>
      <c r="AA20" s="153"/>
      <c r="AB20" s="154"/>
      <c r="AC20" s="154"/>
      <c r="AD20" s="23"/>
      <c r="AE20" s="23"/>
      <c r="AF20" s="154"/>
      <c r="AG20" s="27"/>
      <c r="AH20" s="27"/>
      <c r="AI20" s="27"/>
      <c r="AJ20" s="27"/>
      <c r="AK20" s="29"/>
      <c r="AL20" s="29"/>
      <c r="AM20" s="29"/>
      <c r="AN20" s="29"/>
      <c r="AO20" s="31"/>
      <c r="AP20" s="31"/>
      <c r="AQ20" s="31"/>
      <c r="AR20" s="31"/>
      <c r="AS20" s="151"/>
      <c r="AT20" s="152"/>
      <c r="AU20" s="152"/>
      <c r="AV20" s="152"/>
      <c r="AW20" s="152"/>
      <c r="AX20" s="153"/>
      <c r="AY20" s="153"/>
      <c r="AZ20" s="153"/>
      <c r="BA20" s="153"/>
      <c r="BB20" s="153"/>
      <c r="BC20" s="154"/>
      <c r="BD20" s="23"/>
      <c r="BE20" s="23"/>
      <c r="BF20" s="154"/>
      <c r="BG20" s="27"/>
      <c r="BH20" s="27"/>
      <c r="BI20" s="27"/>
      <c r="BJ20" s="27"/>
      <c r="BK20" s="29"/>
      <c r="BL20" s="29"/>
      <c r="BM20" s="29"/>
      <c r="BN20" s="29"/>
      <c r="BO20" s="33"/>
    </row>
    <row r="21" spans="1:67">
      <c r="A21" s="165"/>
      <c r="B21" s="148" t="s">
        <v>32</v>
      </c>
      <c r="C21" s="148" t="s">
        <v>33</v>
      </c>
      <c r="D21" s="2">
        <f>VLOOKUP(B21,Inputs!$I$6:$N$10,MATCH(C21,Inputs!$I$5:$N$5,0),0)</f>
        <v>15</v>
      </c>
      <c r="E21" s="2" t="str">
        <f>VLOOKUP(D21,Inputs!$A$10:$B$34,2)</f>
        <v>Medium</v>
      </c>
      <c r="F21" s="15" t="str">
        <f>VLOOKUP(D21,Inputs!$A$10:$C$34,3)</f>
        <v>Biannual</v>
      </c>
      <c r="G21" s="80"/>
      <c r="H21" s="77"/>
      <c r="I21" s="3"/>
      <c r="J21" s="3"/>
      <c r="K21" s="3"/>
      <c r="L21" s="18"/>
      <c r="M21" s="18"/>
      <c r="N21" s="166"/>
      <c r="O21" s="150"/>
      <c r="P21" s="151"/>
      <c r="Q21" s="151"/>
      <c r="R21" s="151"/>
      <c r="S21" s="151"/>
      <c r="T21" s="21"/>
      <c r="U21" s="152"/>
      <c r="V21" s="152"/>
      <c r="W21" s="152"/>
      <c r="X21" s="153"/>
      <c r="Y21" s="153"/>
      <c r="Z21" s="25"/>
      <c r="AA21" s="153"/>
      <c r="AB21" s="154"/>
      <c r="AC21" s="154"/>
      <c r="AD21" s="23"/>
      <c r="AE21" s="23"/>
      <c r="AF21" s="23"/>
      <c r="AG21" s="27"/>
      <c r="AH21" s="27"/>
      <c r="AI21" s="27"/>
      <c r="AJ21" s="27"/>
      <c r="AK21" s="29"/>
      <c r="AL21" s="29"/>
      <c r="AM21" s="29"/>
      <c r="AN21" s="29"/>
      <c r="AO21" s="31"/>
      <c r="AP21" s="31"/>
      <c r="AQ21" s="31"/>
      <c r="AR21" s="31"/>
      <c r="AS21" s="31"/>
      <c r="AT21" s="21"/>
      <c r="AU21" s="152"/>
      <c r="AV21" s="152"/>
      <c r="AW21" s="152"/>
      <c r="AX21" s="153"/>
      <c r="AY21" s="153"/>
      <c r="AZ21" s="25"/>
      <c r="BA21" s="153"/>
      <c r="BB21" s="153"/>
      <c r="BC21" s="154"/>
      <c r="BD21" s="23"/>
      <c r="BE21" s="23"/>
      <c r="BF21" s="23"/>
      <c r="BG21" s="27"/>
      <c r="BH21" s="27"/>
      <c r="BI21" s="27"/>
      <c r="BJ21" s="27"/>
      <c r="BK21" s="29"/>
      <c r="BL21" s="29"/>
      <c r="BM21" s="29"/>
      <c r="BN21" s="29"/>
      <c r="BO21" s="33"/>
    </row>
    <row r="22" spans="1:67" ht="12.95" thickBot="1">
      <c r="A22" s="155"/>
      <c r="B22" s="156" t="s">
        <v>32</v>
      </c>
      <c r="C22" s="156" t="s">
        <v>33</v>
      </c>
      <c r="D22" s="55">
        <f>VLOOKUP(B22,Inputs!$I$6:$N$10,MATCH(C22,Inputs!$I$5:$N$5,0),0)</f>
        <v>15</v>
      </c>
      <c r="E22" s="55" t="str">
        <f>VLOOKUP(D22,Inputs!$A$10:$B$34,2)</f>
        <v>Medium</v>
      </c>
      <c r="F22" s="56" t="str">
        <f>VLOOKUP(D22,Inputs!$A$10:$C$34,3)</f>
        <v>Biannual</v>
      </c>
      <c r="G22" s="82"/>
      <c r="H22" s="78"/>
      <c r="I22" s="57"/>
      <c r="J22" s="57"/>
      <c r="K22" s="57"/>
      <c r="L22" s="58"/>
      <c r="M22" s="58"/>
      <c r="N22" s="167"/>
      <c r="O22" s="157"/>
      <c r="P22" s="158"/>
      <c r="Q22" s="158"/>
      <c r="R22" s="158"/>
      <c r="S22" s="158"/>
      <c r="T22" s="60"/>
      <c r="U22" s="159"/>
      <c r="V22" s="159"/>
      <c r="W22" s="159"/>
      <c r="X22" s="160"/>
      <c r="Y22" s="160"/>
      <c r="Z22" s="61"/>
      <c r="AA22" s="160"/>
      <c r="AB22" s="161"/>
      <c r="AC22" s="161"/>
      <c r="AD22" s="62"/>
      <c r="AE22" s="62"/>
      <c r="AF22" s="62"/>
      <c r="AG22" s="63"/>
      <c r="AH22" s="63"/>
      <c r="AI22" s="162"/>
      <c r="AJ22" s="63"/>
      <c r="AK22" s="64"/>
      <c r="AL22" s="64"/>
      <c r="AM22" s="64"/>
      <c r="AN22" s="64"/>
      <c r="AO22" s="65"/>
      <c r="AP22" s="65"/>
      <c r="AQ22" s="65"/>
      <c r="AR22" s="65"/>
      <c r="AS22" s="65"/>
      <c r="AT22" s="60"/>
      <c r="AU22" s="159"/>
      <c r="AV22" s="159"/>
      <c r="AW22" s="159"/>
      <c r="AX22" s="160"/>
      <c r="AY22" s="160"/>
      <c r="AZ22" s="61"/>
      <c r="BA22" s="160"/>
      <c r="BB22" s="160"/>
      <c r="BC22" s="161"/>
      <c r="BD22" s="62"/>
      <c r="BE22" s="62"/>
      <c r="BF22" s="62"/>
      <c r="BG22" s="63"/>
      <c r="BH22" s="63"/>
      <c r="BI22" s="162"/>
      <c r="BJ22" s="63"/>
      <c r="BK22" s="64"/>
      <c r="BL22" s="64"/>
      <c r="BM22" s="64"/>
      <c r="BN22" s="64"/>
      <c r="BO22" s="66"/>
    </row>
    <row r="23" spans="1:67" ht="13.5" thickBot="1">
      <c r="A23" s="89"/>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90"/>
      <c r="BH23" s="90"/>
      <c r="BI23" s="90"/>
      <c r="BJ23" s="90"/>
      <c r="BK23" s="90"/>
      <c r="BL23" s="90"/>
      <c r="BM23" s="90"/>
      <c r="BN23" s="90"/>
      <c r="BO23" s="91"/>
    </row>
    <row r="24" spans="1:67">
      <c r="A24" s="163"/>
      <c r="B24" s="164" t="s">
        <v>32</v>
      </c>
      <c r="C24" s="164" t="s">
        <v>33</v>
      </c>
      <c r="D24" s="45">
        <f>VLOOKUP(B24,Inputs!$I$6:$N$10,MATCH(C24,Inputs!$I$5:$N$5,0),0)</f>
        <v>15</v>
      </c>
      <c r="E24" s="45" t="str">
        <f>VLOOKUP(D24,Inputs!$A$10:$B$34,2)</f>
        <v>Medium</v>
      </c>
      <c r="F24" s="46" t="str">
        <f>VLOOKUP(D24,Inputs!$A$10:$C$34,3)</f>
        <v>Biannual</v>
      </c>
      <c r="G24" s="83"/>
      <c r="H24" s="141"/>
      <c r="I24" s="47"/>
      <c r="J24" s="47"/>
      <c r="K24" s="47"/>
      <c r="L24" s="48"/>
      <c r="M24" s="48"/>
      <c r="N24" s="168"/>
      <c r="O24" s="142"/>
      <c r="P24" s="143"/>
      <c r="Q24" s="143"/>
      <c r="R24" s="143"/>
      <c r="S24" s="143"/>
      <c r="T24" s="144"/>
      <c r="U24" s="144"/>
      <c r="V24" s="144"/>
      <c r="W24" s="144"/>
      <c r="X24" s="145"/>
      <c r="Y24" s="145"/>
      <c r="Z24" s="145"/>
      <c r="AA24" s="145"/>
      <c r="AB24" s="146"/>
      <c r="AC24" s="146"/>
      <c r="AD24" s="50"/>
      <c r="AE24" s="50"/>
      <c r="AF24" s="50"/>
      <c r="AG24" s="51"/>
      <c r="AH24" s="51"/>
      <c r="AI24" s="51"/>
      <c r="AJ24" s="51"/>
      <c r="AK24" s="52"/>
      <c r="AL24" s="52"/>
      <c r="AM24" s="52"/>
      <c r="AN24" s="52"/>
      <c r="AO24" s="53"/>
      <c r="AP24" s="53"/>
      <c r="AQ24" s="53"/>
      <c r="AR24" s="53"/>
      <c r="AS24" s="53"/>
      <c r="AT24" s="144"/>
      <c r="AU24" s="144"/>
      <c r="AV24" s="144"/>
      <c r="AW24" s="144"/>
      <c r="AX24" s="145"/>
      <c r="AY24" s="145"/>
      <c r="AZ24" s="145"/>
      <c r="BA24" s="145"/>
      <c r="BB24" s="145"/>
      <c r="BC24" s="146"/>
      <c r="BD24" s="50"/>
      <c r="BE24" s="50"/>
      <c r="BF24" s="50"/>
      <c r="BG24" s="51"/>
      <c r="BH24" s="51"/>
      <c r="BI24" s="51"/>
      <c r="BJ24" s="51"/>
      <c r="BK24" s="52"/>
      <c r="BL24" s="52"/>
      <c r="BM24" s="52"/>
      <c r="BN24" s="52"/>
      <c r="BO24" s="54"/>
    </row>
    <row r="25" spans="1:67">
      <c r="A25" s="165"/>
      <c r="B25" s="148" t="s">
        <v>32</v>
      </c>
      <c r="C25" s="148" t="s">
        <v>33</v>
      </c>
      <c r="D25" s="2">
        <f>VLOOKUP(B25,Inputs!$I$6:$N$10,MATCH(C25,Inputs!$I$5:$N$5,0),0)</f>
        <v>15</v>
      </c>
      <c r="E25" s="2" t="str">
        <f>VLOOKUP(D25,Inputs!$A$10:$B$34,2)</f>
        <v>Medium</v>
      </c>
      <c r="F25" s="15" t="str">
        <f>VLOOKUP(D25,Inputs!$A$10:$C$34,3)</f>
        <v>Biannual</v>
      </c>
      <c r="G25" s="80"/>
      <c r="H25" s="149"/>
      <c r="I25" s="3"/>
      <c r="J25" s="3"/>
      <c r="K25" s="3"/>
      <c r="L25" s="18"/>
      <c r="M25" s="18"/>
      <c r="N25" s="166"/>
      <c r="O25" s="150"/>
      <c r="P25" s="151"/>
      <c r="Q25" s="151"/>
      <c r="R25" s="151"/>
      <c r="S25" s="151"/>
      <c r="T25" s="152"/>
      <c r="U25" s="152"/>
      <c r="V25" s="152"/>
      <c r="W25" s="152"/>
      <c r="X25" s="153"/>
      <c r="Y25" s="153"/>
      <c r="Z25" s="153"/>
      <c r="AA25" s="153"/>
      <c r="AB25" s="154"/>
      <c r="AC25" s="154"/>
      <c r="AD25" s="23"/>
      <c r="AE25" s="23"/>
      <c r="AF25" s="23"/>
      <c r="AG25" s="27"/>
      <c r="AH25" s="27"/>
      <c r="AI25" s="27"/>
      <c r="AJ25" s="27"/>
      <c r="AK25" s="29"/>
      <c r="AL25" s="29"/>
      <c r="AM25" s="29"/>
      <c r="AN25" s="29"/>
      <c r="AO25" s="31"/>
      <c r="AP25" s="31"/>
      <c r="AQ25" s="31"/>
      <c r="AR25" s="31"/>
      <c r="AS25" s="31"/>
      <c r="AT25" s="152"/>
      <c r="AU25" s="152"/>
      <c r="AV25" s="152"/>
      <c r="AW25" s="152"/>
      <c r="AX25" s="153"/>
      <c r="AY25" s="153"/>
      <c r="AZ25" s="153"/>
      <c r="BA25" s="153"/>
      <c r="BB25" s="153"/>
      <c r="BC25" s="154"/>
      <c r="BD25" s="23"/>
      <c r="BE25" s="23"/>
      <c r="BF25" s="23"/>
      <c r="BG25" s="27"/>
      <c r="BH25" s="27"/>
      <c r="BI25" s="27"/>
      <c r="BJ25" s="27"/>
      <c r="BK25" s="29"/>
      <c r="BL25" s="29"/>
      <c r="BM25" s="29"/>
      <c r="BN25" s="29"/>
      <c r="BO25" s="33"/>
    </row>
    <row r="26" spans="1:67">
      <c r="A26" s="165"/>
      <c r="B26" s="148" t="s">
        <v>32</v>
      </c>
      <c r="C26" s="148" t="s">
        <v>33</v>
      </c>
      <c r="D26" s="2">
        <f>VLOOKUP(B26,Inputs!$I$6:$N$10,MATCH(C26,Inputs!$I$5:$N$5,0),0)</f>
        <v>15</v>
      </c>
      <c r="E26" s="2" t="str">
        <f>VLOOKUP(D26,Inputs!$A$10:$B$34,2)</f>
        <v>Medium</v>
      </c>
      <c r="F26" s="15" t="str">
        <f>VLOOKUP(D26,Inputs!$A$10:$C$34,3)</f>
        <v>Biannual</v>
      </c>
      <c r="G26" s="80"/>
      <c r="H26" s="77"/>
      <c r="I26" s="3"/>
      <c r="J26" s="3"/>
      <c r="K26" s="3"/>
      <c r="L26" s="18"/>
      <c r="M26" s="18"/>
      <c r="N26" s="166"/>
      <c r="O26" s="150"/>
      <c r="P26" s="151"/>
      <c r="Q26" s="151"/>
      <c r="R26" s="151"/>
      <c r="S26" s="151"/>
      <c r="T26" s="152"/>
      <c r="U26" s="152"/>
      <c r="V26" s="152"/>
      <c r="W26" s="152"/>
      <c r="X26" s="153"/>
      <c r="Y26" s="153"/>
      <c r="Z26" s="153"/>
      <c r="AA26" s="153"/>
      <c r="AB26" s="154"/>
      <c r="AC26" s="154"/>
      <c r="AD26" s="23"/>
      <c r="AE26" s="23"/>
      <c r="AF26" s="154"/>
      <c r="AG26" s="27"/>
      <c r="AH26" s="27"/>
      <c r="AI26" s="27"/>
      <c r="AJ26" s="27"/>
      <c r="AK26" s="29"/>
      <c r="AL26" s="29"/>
      <c r="AM26" s="29"/>
      <c r="AN26" s="29"/>
      <c r="AO26" s="31"/>
      <c r="AP26" s="31"/>
      <c r="AQ26" s="31"/>
      <c r="AR26" s="31"/>
      <c r="AS26" s="151"/>
      <c r="AT26" s="152"/>
      <c r="AU26" s="152"/>
      <c r="AV26" s="152"/>
      <c r="AW26" s="152"/>
      <c r="AX26" s="153"/>
      <c r="AY26" s="153"/>
      <c r="AZ26" s="153"/>
      <c r="BA26" s="153"/>
      <c r="BB26" s="153"/>
      <c r="BC26" s="154"/>
      <c r="BD26" s="23"/>
      <c r="BE26" s="23"/>
      <c r="BF26" s="154"/>
      <c r="BG26" s="27"/>
      <c r="BH26" s="27"/>
      <c r="BI26" s="27"/>
      <c r="BJ26" s="27"/>
      <c r="BK26" s="29"/>
      <c r="BL26" s="29"/>
      <c r="BM26" s="29"/>
      <c r="BN26" s="29"/>
      <c r="BO26" s="33"/>
    </row>
    <row r="27" spans="1:67">
      <c r="A27" s="165"/>
      <c r="B27" s="148" t="s">
        <v>32</v>
      </c>
      <c r="C27" s="148" t="s">
        <v>33</v>
      </c>
      <c r="D27" s="2">
        <f>VLOOKUP(B27,Inputs!$I$6:$N$10,MATCH(C27,Inputs!$I$5:$N$5,0),0)</f>
        <v>15</v>
      </c>
      <c r="E27" s="2" t="str">
        <f>VLOOKUP(D27,Inputs!$A$10:$B$34,2)</f>
        <v>Medium</v>
      </c>
      <c r="F27" s="15" t="str">
        <f>VLOOKUP(D27,Inputs!$A$10:$C$34,3)</f>
        <v>Biannual</v>
      </c>
      <c r="G27" s="80"/>
      <c r="H27" s="77"/>
      <c r="I27" s="3"/>
      <c r="J27" s="3"/>
      <c r="K27" s="3"/>
      <c r="L27" s="18"/>
      <c r="M27" s="18"/>
      <c r="N27" s="166"/>
      <c r="O27" s="150"/>
      <c r="P27" s="151"/>
      <c r="Q27" s="151"/>
      <c r="R27" s="151"/>
      <c r="S27" s="151"/>
      <c r="T27" s="21"/>
      <c r="U27" s="152"/>
      <c r="V27" s="152"/>
      <c r="W27" s="152"/>
      <c r="X27" s="153"/>
      <c r="Y27" s="153"/>
      <c r="Z27" s="25"/>
      <c r="AA27" s="153"/>
      <c r="AB27" s="154"/>
      <c r="AC27" s="154"/>
      <c r="AD27" s="23"/>
      <c r="AE27" s="23"/>
      <c r="AF27" s="23"/>
      <c r="AG27" s="27"/>
      <c r="AH27" s="27"/>
      <c r="AI27" s="27"/>
      <c r="AJ27" s="27"/>
      <c r="AK27" s="29"/>
      <c r="AL27" s="29"/>
      <c r="AM27" s="29"/>
      <c r="AN27" s="29"/>
      <c r="AO27" s="31"/>
      <c r="AP27" s="31"/>
      <c r="AQ27" s="31"/>
      <c r="AR27" s="31"/>
      <c r="AS27" s="31"/>
      <c r="AT27" s="21"/>
      <c r="AU27" s="152"/>
      <c r="AV27" s="152"/>
      <c r="AW27" s="152"/>
      <c r="AX27" s="153"/>
      <c r="AY27" s="153"/>
      <c r="AZ27" s="25"/>
      <c r="BA27" s="153"/>
      <c r="BB27" s="153"/>
      <c r="BC27" s="154"/>
      <c r="BD27" s="23"/>
      <c r="BE27" s="23"/>
      <c r="BF27" s="23"/>
      <c r="BG27" s="27"/>
      <c r="BH27" s="27"/>
      <c r="BI27" s="27"/>
      <c r="BJ27" s="27"/>
      <c r="BK27" s="29"/>
      <c r="BL27" s="29"/>
      <c r="BM27" s="29"/>
      <c r="BN27" s="29"/>
      <c r="BO27" s="33"/>
    </row>
    <row r="28" spans="1:67" ht="12.95" thickBot="1">
      <c r="A28" s="155"/>
      <c r="B28" s="156" t="s">
        <v>32</v>
      </c>
      <c r="C28" s="156" t="s">
        <v>33</v>
      </c>
      <c r="D28" s="55">
        <f>VLOOKUP(B28,Inputs!$I$6:$N$10,MATCH(C28,Inputs!$I$5:$N$5,0),0)</f>
        <v>15</v>
      </c>
      <c r="E28" s="55" t="str">
        <f>VLOOKUP(D28,Inputs!$A$10:$B$34,2)</f>
        <v>Medium</v>
      </c>
      <c r="F28" s="56" t="str">
        <f>VLOOKUP(D28,Inputs!$A$10:$C$34,3)</f>
        <v>Biannual</v>
      </c>
      <c r="G28" s="82"/>
      <c r="H28" s="78"/>
      <c r="I28" s="57"/>
      <c r="J28" s="57"/>
      <c r="K28" s="57"/>
      <c r="L28" s="58"/>
      <c r="M28" s="58"/>
      <c r="N28" s="167"/>
      <c r="O28" s="157"/>
      <c r="P28" s="158"/>
      <c r="Q28" s="158"/>
      <c r="R28" s="158"/>
      <c r="S28" s="158"/>
      <c r="T28" s="60"/>
      <c r="U28" s="159"/>
      <c r="V28" s="159"/>
      <c r="W28" s="159"/>
      <c r="X28" s="160"/>
      <c r="Y28" s="160"/>
      <c r="Z28" s="61"/>
      <c r="AA28" s="160"/>
      <c r="AB28" s="161"/>
      <c r="AC28" s="161"/>
      <c r="AD28" s="62"/>
      <c r="AE28" s="62"/>
      <c r="AF28" s="62"/>
      <c r="AG28" s="63"/>
      <c r="AH28" s="63"/>
      <c r="AI28" s="162"/>
      <c r="AJ28" s="63"/>
      <c r="AK28" s="64"/>
      <c r="AL28" s="64"/>
      <c r="AM28" s="64"/>
      <c r="AN28" s="64"/>
      <c r="AO28" s="65"/>
      <c r="AP28" s="65"/>
      <c r="AQ28" s="65"/>
      <c r="AR28" s="65"/>
      <c r="AS28" s="65"/>
      <c r="AT28" s="60"/>
      <c r="AU28" s="159"/>
      <c r="AV28" s="159"/>
      <c r="AW28" s="159"/>
      <c r="AX28" s="160"/>
      <c r="AY28" s="160"/>
      <c r="AZ28" s="61"/>
      <c r="BA28" s="160"/>
      <c r="BB28" s="160"/>
      <c r="BC28" s="161"/>
      <c r="BD28" s="62"/>
      <c r="BE28" s="62"/>
      <c r="BF28" s="62"/>
      <c r="BG28" s="63"/>
      <c r="BH28" s="63"/>
      <c r="BI28" s="162"/>
      <c r="BJ28" s="63"/>
      <c r="BK28" s="64"/>
      <c r="BL28" s="64"/>
      <c r="BM28" s="64"/>
      <c r="BN28" s="64"/>
      <c r="BO28" s="66"/>
    </row>
    <row r="29" spans="1:67" ht="13.5" thickBot="1">
      <c r="A29" s="89"/>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c r="AY29" s="90"/>
      <c r="AZ29" s="90"/>
      <c r="BA29" s="90"/>
      <c r="BB29" s="90"/>
      <c r="BC29" s="90"/>
      <c r="BD29" s="90"/>
      <c r="BE29" s="90"/>
      <c r="BF29" s="90"/>
      <c r="BG29" s="90"/>
      <c r="BH29" s="90"/>
      <c r="BI29" s="90"/>
      <c r="BJ29" s="90"/>
      <c r="BK29" s="90"/>
      <c r="BL29" s="90"/>
      <c r="BM29" s="90"/>
      <c r="BN29" s="90"/>
      <c r="BO29" s="91"/>
    </row>
    <row r="30" spans="1:67">
      <c r="A30" s="163"/>
      <c r="B30" s="164" t="s">
        <v>32</v>
      </c>
      <c r="C30" s="164" t="s">
        <v>33</v>
      </c>
      <c r="D30" s="45">
        <f>VLOOKUP(B30,Inputs!$I$6:$N$10,MATCH(C30,Inputs!$I$5:$N$5,0),0)</f>
        <v>15</v>
      </c>
      <c r="E30" s="45" t="str">
        <f>VLOOKUP(D30,Inputs!$A$10:$B$34,2)</f>
        <v>Medium</v>
      </c>
      <c r="F30" s="46" t="str">
        <f>VLOOKUP(D30,Inputs!$A$10:$C$34,3)</f>
        <v>Biannual</v>
      </c>
      <c r="G30" s="80"/>
      <c r="H30" s="141"/>
      <c r="I30" s="47"/>
      <c r="J30" s="47"/>
      <c r="K30" s="47"/>
      <c r="L30" s="48"/>
      <c r="M30" s="48"/>
      <c r="N30" s="168"/>
      <c r="O30" s="142"/>
      <c r="P30" s="143"/>
      <c r="Q30" s="143"/>
      <c r="R30" s="143"/>
      <c r="S30" s="143"/>
      <c r="T30" s="144"/>
      <c r="U30" s="144"/>
      <c r="V30" s="144"/>
      <c r="W30" s="144"/>
      <c r="X30" s="145"/>
      <c r="Y30" s="145"/>
      <c r="Z30" s="145"/>
      <c r="AA30" s="145"/>
      <c r="AB30" s="146"/>
      <c r="AC30" s="146"/>
      <c r="AD30" s="50"/>
      <c r="AE30" s="50"/>
      <c r="AF30" s="50"/>
      <c r="AG30" s="51"/>
      <c r="AH30" s="51"/>
      <c r="AI30" s="51"/>
      <c r="AJ30" s="51"/>
      <c r="AK30" s="52"/>
      <c r="AL30" s="52"/>
      <c r="AM30" s="52"/>
      <c r="AN30" s="52"/>
      <c r="AO30" s="53"/>
      <c r="AP30" s="53"/>
      <c r="AQ30" s="53"/>
      <c r="AR30" s="53"/>
      <c r="AS30" s="53"/>
      <c r="AT30" s="144"/>
      <c r="AU30" s="144"/>
      <c r="AV30" s="144"/>
      <c r="AW30" s="144"/>
      <c r="AX30" s="145"/>
      <c r="AY30" s="145"/>
      <c r="AZ30" s="145"/>
      <c r="BA30" s="145"/>
      <c r="BB30" s="145"/>
      <c r="BC30" s="146"/>
      <c r="BD30" s="50"/>
      <c r="BE30" s="50"/>
      <c r="BF30" s="50"/>
      <c r="BG30" s="51"/>
      <c r="BH30" s="51"/>
      <c r="BI30" s="51"/>
      <c r="BJ30" s="51"/>
      <c r="BK30" s="52"/>
      <c r="BL30" s="52"/>
      <c r="BM30" s="52"/>
      <c r="BN30" s="52"/>
      <c r="BO30" s="54"/>
    </row>
    <row r="31" spans="1:67">
      <c r="A31" s="165"/>
      <c r="B31" s="5" t="s">
        <v>32</v>
      </c>
      <c r="C31" s="148" t="s">
        <v>33</v>
      </c>
      <c r="D31" s="2">
        <f>VLOOKUP(B31,Inputs!$I$6:$N$10,MATCH(C31,Inputs!$I$5:$N$5,0),0)</f>
        <v>15</v>
      </c>
      <c r="E31" s="2" t="str">
        <f>VLOOKUP(D31,Inputs!$A$10:$B$34,2)</f>
        <v>Medium</v>
      </c>
      <c r="F31" s="15" t="str">
        <f>VLOOKUP(D31,Inputs!$A$10:$C$34,3)</f>
        <v>Biannual</v>
      </c>
      <c r="G31" s="80"/>
      <c r="H31" s="149"/>
      <c r="I31" s="3"/>
      <c r="J31" s="3"/>
      <c r="K31" s="3"/>
      <c r="L31" s="18"/>
      <c r="M31" s="18"/>
      <c r="N31" s="166"/>
      <c r="O31" s="150"/>
      <c r="P31" s="151"/>
      <c r="Q31" s="151"/>
      <c r="R31" s="151"/>
      <c r="S31" s="151"/>
      <c r="T31" s="152"/>
      <c r="U31" s="152"/>
      <c r="V31" s="152"/>
      <c r="W31" s="152"/>
      <c r="X31" s="153"/>
      <c r="Y31" s="153"/>
      <c r="Z31" s="153"/>
      <c r="AA31" s="153"/>
      <c r="AB31" s="154"/>
      <c r="AC31" s="154"/>
      <c r="AD31" s="23"/>
      <c r="AE31" s="23"/>
      <c r="AF31" s="23"/>
      <c r="AG31" s="27"/>
      <c r="AH31" s="27"/>
      <c r="AI31" s="27"/>
      <c r="AJ31" s="27"/>
      <c r="AK31" s="29"/>
      <c r="AL31" s="29"/>
      <c r="AM31" s="29"/>
      <c r="AN31" s="29"/>
      <c r="AO31" s="31"/>
      <c r="AP31" s="31"/>
      <c r="AQ31" s="31"/>
      <c r="AR31" s="31"/>
      <c r="AS31" s="31"/>
      <c r="AT31" s="152"/>
      <c r="AU31" s="152"/>
      <c r="AV31" s="152"/>
      <c r="AW31" s="152"/>
      <c r="AX31" s="153"/>
      <c r="AY31" s="153"/>
      <c r="AZ31" s="153"/>
      <c r="BA31" s="153"/>
      <c r="BB31" s="153"/>
      <c r="BC31" s="154"/>
      <c r="BD31" s="23"/>
      <c r="BE31" s="23"/>
      <c r="BF31" s="23"/>
      <c r="BG31" s="27"/>
      <c r="BH31" s="27"/>
      <c r="BI31" s="27"/>
      <c r="BJ31" s="27"/>
      <c r="BK31" s="29"/>
      <c r="BL31" s="29"/>
      <c r="BM31" s="29"/>
      <c r="BN31" s="29"/>
      <c r="BO31" s="33"/>
    </row>
    <row r="32" spans="1:67">
      <c r="A32" s="165"/>
      <c r="B32" s="148" t="s">
        <v>32</v>
      </c>
      <c r="C32" s="148" t="s">
        <v>33</v>
      </c>
      <c r="D32" s="2">
        <f>VLOOKUP(B32,Inputs!$I$6:$N$10,MATCH(C32,Inputs!$I$5:$N$5,0),0)</f>
        <v>15</v>
      </c>
      <c r="E32" s="2" t="str">
        <f>VLOOKUP(D32,Inputs!$A$10:$B$34,2)</f>
        <v>Medium</v>
      </c>
      <c r="F32" s="15" t="str">
        <f>VLOOKUP(D32,Inputs!$A$10:$C$34,3)</f>
        <v>Biannual</v>
      </c>
      <c r="G32" s="80"/>
      <c r="H32" s="77"/>
      <c r="I32" s="3"/>
      <c r="J32" s="3"/>
      <c r="K32" s="3"/>
      <c r="L32" s="18"/>
      <c r="M32" s="18"/>
      <c r="N32" s="166"/>
      <c r="O32" s="150"/>
      <c r="P32" s="151"/>
      <c r="Q32" s="151"/>
      <c r="R32" s="151"/>
      <c r="S32" s="151"/>
      <c r="T32" s="152"/>
      <c r="U32" s="152"/>
      <c r="V32" s="152"/>
      <c r="W32" s="152"/>
      <c r="X32" s="153"/>
      <c r="Y32" s="153"/>
      <c r="Z32" s="153"/>
      <c r="AA32" s="153"/>
      <c r="AB32" s="154"/>
      <c r="AC32" s="154"/>
      <c r="AD32" s="23"/>
      <c r="AE32" s="23"/>
      <c r="AF32" s="154"/>
      <c r="AG32" s="27"/>
      <c r="AH32" s="27"/>
      <c r="AI32" s="27"/>
      <c r="AJ32" s="27"/>
      <c r="AK32" s="29"/>
      <c r="AL32" s="29"/>
      <c r="AM32" s="29"/>
      <c r="AN32" s="29"/>
      <c r="AO32" s="31"/>
      <c r="AP32" s="31"/>
      <c r="AQ32" s="31"/>
      <c r="AR32" s="31"/>
      <c r="AS32" s="151"/>
      <c r="AT32" s="152"/>
      <c r="AU32" s="152"/>
      <c r="AV32" s="152"/>
      <c r="AW32" s="152"/>
      <c r="AX32" s="153"/>
      <c r="AY32" s="153"/>
      <c r="AZ32" s="153"/>
      <c r="BA32" s="153"/>
      <c r="BB32" s="153"/>
      <c r="BC32" s="154"/>
      <c r="BD32" s="23"/>
      <c r="BE32" s="23"/>
      <c r="BF32" s="154"/>
      <c r="BG32" s="27"/>
      <c r="BH32" s="27"/>
      <c r="BI32" s="27"/>
      <c r="BJ32" s="27"/>
      <c r="BK32" s="29"/>
      <c r="BL32" s="29"/>
      <c r="BM32" s="29"/>
      <c r="BN32" s="29"/>
      <c r="BO32" s="33"/>
    </row>
    <row r="33" spans="1:67" ht="12.75" customHeight="1">
      <c r="A33" s="165"/>
      <c r="B33" s="148" t="s">
        <v>32</v>
      </c>
      <c r="C33" s="148" t="s">
        <v>33</v>
      </c>
      <c r="D33" s="2">
        <f>VLOOKUP(B33,Inputs!$I$6:$N$10,MATCH(C33,Inputs!$I$5:$N$5,0),0)</f>
        <v>15</v>
      </c>
      <c r="E33" s="2" t="str">
        <f>VLOOKUP(D33,Inputs!$A$10:$B$34,2)</f>
        <v>Medium</v>
      </c>
      <c r="F33" s="15" t="str">
        <f>VLOOKUP(D33,Inputs!$A$10:$C$34,3)</f>
        <v>Biannual</v>
      </c>
      <c r="G33" s="80"/>
      <c r="H33" s="77"/>
      <c r="I33" s="3"/>
      <c r="J33" s="3"/>
      <c r="K33" s="3"/>
      <c r="L33" s="18"/>
      <c r="M33" s="18"/>
      <c r="N33" s="166"/>
      <c r="O33" s="150"/>
      <c r="P33" s="151"/>
      <c r="Q33" s="151"/>
      <c r="R33" s="151"/>
      <c r="S33" s="151"/>
      <c r="T33" s="21"/>
      <c r="U33" s="152"/>
      <c r="V33" s="152"/>
      <c r="W33" s="152"/>
      <c r="X33" s="153"/>
      <c r="Y33" s="153"/>
      <c r="Z33" s="25"/>
      <c r="AA33" s="153"/>
      <c r="AB33" s="154"/>
      <c r="AC33" s="154"/>
      <c r="AD33" s="23"/>
      <c r="AE33" s="23"/>
      <c r="AF33" s="23"/>
      <c r="AG33" s="27"/>
      <c r="AH33" s="27"/>
      <c r="AI33" s="27"/>
      <c r="AJ33" s="27"/>
      <c r="AK33" s="29"/>
      <c r="AL33" s="29"/>
      <c r="AM33" s="29"/>
      <c r="AN33" s="29"/>
      <c r="AO33" s="31"/>
      <c r="AP33" s="31"/>
      <c r="AQ33" s="31"/>
      <c r="AR33" s="31"/>
      <c r="AS33" s="31"/>
      <c r="AT33" s="21"/>
      <c r="AU33" s="152"/>
      <c r="AV33" s="152"/>
      <c r="AW33" s="152"/>
      <c r="AX33" s="153"/>
      <c r="AY33" s="153"/>
      <c r="AZ33" s="25"/>
      <c r="BA33" s="153"/>
      <c r="BB33" s="153"/>
      <c r="BC33" s="154"/>
      <c r="BD33" s="23"/>
      <c r="BE33" s="23"/>
      <c r="BF33" s="23"/>
      <c r="BG33" s="27"/>
      <c r="BH33" s="27"/>
      <c r="BI33" s="27"/>
      <c r="BJ33" s="27"/>
      <c r="BK33" s="29"/>
      <c r="BL33" s="29"/>
      <c r="BM33" s="29"/>
      <c r="BN33" s="29"/>
      <c r="BO33" s="33"/>
    </row>
    <row r="34" spans="1:67" ht="12.75" customHeight="1" thickBot="1">
      <c r="A34" s="155"/>
      <c r="B34" s="156" t="s">
        <v>32</v>
      </c>
      <c r="C34" s="156" t="s">
        <v>33</v>
      </c>
      <c r="D34" s="55">
        <f>VLOOKUP(B34,Inputs!$I$6:$N$10,MATCH(C34,Inputs!$I$5:$N$5,0),0)</f>
        <v>15</v>
      </c>
      <c r="E34" s="55" t="str">
        <f>VLOOKUP(D34,Inputs!$A$10:$B$34,2)</f>
        <v>Medium</v>
      </c>
      <c r="F34" s="56" t="str">
        <f>VLOOKUP(D34,Inputs!$A$10:$C$34,3)</f>
        <v>Biannual</v>
      </c>
      <c r="G34" s="80"/>
      <c r="H34" s="78"/>
      <c r="I34" s="57"/>
      <c r="J34" s="57"/>
      <c r="K34" s="57"/>
      <c r="L34" s="58"/>
      <c r="M34" s="58"/>
      <c r="N34" s="167"/>
      <c r="O34" s="157"/>
      <c r="P34" s="158"/>
      <c r="Q34" s="158"/>
      <c r="R34" s="158"/>
      <c r="S34" s="158"/>
      <c r="T34" s="60"/>
      <c r="U34" s="159"/>
      <c r="V34" s="159"/>
      <c r="W34" s="159"/>
      <c r="X34" s="160"/>
      <c r="Y34" s="160"/>
      <c r="Z34" s="61"/>
      <c r="AA34" s="160"/>
      <c r="AB34" s="161"/>
      <c r="AC34" s="161"/>
      <c r="AD34" s="62"/>
      <c r="AE34" s="62"/>
      <c r="AF34" s="62"/>
      <c r="AG34" s="63"/>
      <c r="AH34" s="63"/>
      <c r="AI34" s="162"/>
      <c r="AJ34" s="63"/>
      <c r="AK34" s="64"/>
      <c r="AL34" s="64"/>
      <c r="AM34" s="64"/>
      <c r="AN34" s="64"/>
      <c r="AO34" s="65"/>
      <c r="AP34" s="65"/>
      <c r="AQ34" s="65"/>
      <c r="AR34" s="65"/>
      <c r="AS34" s="65"/>
      <c r="AT34" s="60"/>
      <c r="AU34" s="159"/>
      <c r="AV34" s="159"/>
      <c r="AW34" s="159"/>
      <c r="AX34" s="160"/>
      <c r="AY34" s="160"/>
      <c r="AZ34" s="61"/>
      <c r="BA34" s="160"/>
      <c r="BB34" s="160"/>
      <c r="BC34" s="161"/>
      <c r="BD34" s="62"/>
      <c r="BE34" s="62"/>
      <c r="BF34" s="62"/>
      <c r="BG34" s="63"/>
      <c r="BH34" s="63"/>
      <c r="BI34" s="162"/>
      <c r="BJ34" s="63"/>
      <c r="BK34" s="64"/>
      <c r="BL34" s="64"/>
      <c r="BM34" s="64"/>
      <c r="BN34" s="64"/>
      <c r="BO34" s="66"/>
    </row>
    <row r="35" spans="1:67" ht="13.5" thickBot="1">
      <c r="A35" s="89"/>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c r="AY35" s="90"/>
      <c r="AZ35" s="90"/>
      <c r="BA35" s="90"/>
      <c r="BB35" s="90"/>
      <c r="BC35" s="90"/>
      <c r="BD35" s="90"/>
      <c r="BE35" s="90"/>
      <c r="BF35" s="90"/>
      <c r="BG35" s="90"/>
      <c r="BH35" s="90"/>
      <c r="BI35" s="90"/>
      <c r="BJ35" s="90"/>
      <c r="BK35" s="90"/>
      <c r="BL35" s="90"/>
      <c r="BM35" s="90"/>
      <c r="BN35" s="90"/>
      <c r="BO35" s="91"/>
    </row>
    <row r="36" spans="1:67">
      <c r="A36" s="163"/>
      <c r="B36" s="164" t="s">
        <v>32</v>
      </c>
      <c r="C36" s="164" t="s">
        <v>33</v>
      </c>
      <c r="D36" s="45">
        <f>VLOOKUP(B36,Inputs!$I$6:$N$10,MATCH(C36,Inputs!$I$5:$N$5,0),0)</f>
        <v>15</v>
      </c>
      <c r="E36" s="45" t="str">
        <f>VLOOKUP(D36,Inputs!$A$10:$B$34,2)</f>
        <v>Medium</v>
      </c>
      <c r="F36" s="46" t="str">
        <f>VLOOKUP(D36,Inputs!$A$10:$C$34,3)</f>
        <v>Biannual</v>
      </c>
      <c r="G36" s="80"/>
      <c r="H36" s="169"/>
      <c r="I36" s="67"/>
      <c r="J36" s="67"/>
      <c r="K36" s="67"/>
      <c r="L36" s="68"/>
      <c r="M36" s="69"/>
      <c r="N36" s="168"/>
      <c r="O36" s="170"/>
      <c r="P36" s="171"/>
      <c r="Q36" s="171"/>
      <c r="R36" s="171"/>
      <c r="S36" s="171"/>
      <c r="T36" s="172"/>
      <c r="U36" s="172"/>
      <c r="V36" s="172"/>
      <c r="W36" s="172"/>
      <c r="X36" s="173"/>
      <c r="Y36" s="173"/>
      <c r="Z36" s="173"/>
      <c r="AA36" s="173"/>
      <c r="AB36" s="174"/>
      <c r="AC36" s="174"/>
      <c r="AD36" s="72"/>
      <c r="AE36" s="72"/>
      <c r="AF36" s="72"/>
      <c r="AG36" s="73"/>
      <c r="AH36" s="73"/>
      <c r="AI36" s="73"/>
      <c r="AJ36" s="73"/>
      <c r="AK36" s="74"/>
      <c r="AL36" s="74"/>
      <c r="AM36" s="74"/>
      <c r="AN36" s="74"/>
      <c r="AO36" s="75"/>
      <c r="AP36" s="75"/>
      <c r="AQ36" s="75"/>
      <c r="AR36" s="75"/>
      <c r="AS36" s="75"/>
      <c r="AT36" s="172"/>
      <c r="AU36" s="172"/>
      <c r="AV36" s="172"/>
      <c r="AW36" s="172"/>
      <c r="AX36" s="173"/>
      <c r="AY36" s="173"/>
      <c r="AZ36" s="173"/>
      <c r="BA36" s="173"/>
      <c r="BB36" s="145"/>
      <c r="BC36" s="174"/>
      <c r="BD36" s="72"/>
      <c r="BE36" s="72"/>
      <c r="BF36" s="72"/>
      <c r="BG36" s="73"/>
      <c r="BH36" s="73"/>
      <c r="BI36" s="73"/>
      <c r="BJ36" s="73"/>
      <c r="BK36" s="74"/>
      <c r="BL36" s="74"/>
      <c r="BM36" s="74"/>
      <c r="BN36" s="74"/>
      <c r="BO36" s="76"/>
    </row>
    <row r="37" spans="1:67">
      <c r="A37" s="165"/>
      <c r="B37" s="5" t="s">
        <v>32</v>
      </c>
      <c r="C37" s="5" t="s">
        <v>33</v>
      </c>
      <c r="D37" s="2">
        <f>VLOOKUP(B37,Inputs!$I$6:$N$10,MATCH(C37,Inputs!$I$5:$N$5,0),0)</f>
        <v>15</v>
      </c>
      <c r="E37" s="2" t="str">
        <f>VLOOKUP(D37,Inputs!$A$10:$B$34,2)</f>
        <v>Medium</v>
      </c>
      <c r="F37" s="15" t="str">
        <f>VLOOKUP(D37,Inputs!$A$10:$C$34,3)</f>
        <v>Biannual</v>
      </c>
      <c r="G37" s="80"/>
      <c r="H37" s="149"/>
      <c r="I37" s="3"/>
      <c r="J37" s="3"/>
      <c r="K37" s="3"/>
      <c r="L37" s="18"/>
      <c r="M37" s="70"/>
      <c r="N37" s="166"/>
      <c r="O37" s="150"/>
      <c r="P37" s="151"/>
      <c r="Q37" s="151"/>
      <c r="R37" s="151"/>
      <c r="S37" s="151"/>
      <c r="T37" s="152"/>
      <c r="U37" s="152"/>
      <c r="V37" s="152"/>
      <c r="W37" s="152"/>
      <c r="X37" s="153"/>
      <c r="Y37" s="153"/>
      <c r="Z37" s="153"/>
      <c r="AA37" s="153"/>
      <c r="AB37" s="154"/>
      <c r="AC37" s="154"/>
      <c r="AD37" s="23"/>
      <c r="AE37" s="23"/>
      <c r="AF37" s="23"/>
      <c r="AG37" s="27"/>
      <c r="AH37" s="27"/>
      <c r="AI37" s="27"/>
      <c r="AJ37" s="27"/>
      <c r="AK37" s="29"/>
      <c r="AL37" s="29"/>
      <c r="AM37" s="29"/>
      <c r="AN37" s="29"/>
      <c r="AO37" s="31"/>
      <c r="AP37" s="31"/>
      <c r="AQ37" s="31"/>
      <c r="AR37" s="31"/>
      <c r="AS37" s="31"/>
      <c r="AT37" s="152"/>
      <c r="AU37" s="152"/>
      <c r="AV37" s="152"/>
      <c r="AW37" s="152"/>
      <c r="AX37" s="153"/>
      <c r="AY37" s="153"/>
      <c r="AZ37" s="153"/>
      <c r="BA37" s="153"/>
      <c r="BB37" s="153"/>
      <c r="BC37" s="154"/>
      <c r="BD37" s="23"/>
      <c r="BE37" s="23"/>
      <c r="BF37" s="23"/>
      <c r="BG37" s="27"/>
      <c r="BH37" s="27"/>
      <c r="BI37" s="27"/>
      <c r="BJ37" s="27"/>
      <c r="BK37" s="29"/>
      <c r="BL37" s="29"/>
      <c r="BM37" s="29"/>
      <c r="BN37" s="29"/>
      <c r="BO37" s="33"/>
    </row>
    <row r="38" spans="1:67">
      <c r="A38" s="165"/>
      <c r="B38" s="148" t="s">
        <v>32</v>
      </c>
      <c r="C38" s="5" t="s">
        <v>33</v>
      </c>
      <c r="D38" s="2">
        <f>VLOOKUP(B38,Inputs!$I$6:$N$10,MATCH(C38,Inputs!$I$5:$N$5,0),0)</f>
        <v>15</v>
      </c>
      <c r="E38" s="2" t="str">
        <f>VLOOKUP(D38,Inputs!$A$10:$B$34,2)</f>
        <v>Medium</v>
      </c>
      <c r="F38" s="15" t="str">
        <f>VLOOKUP(D38,Inputs!$A$10:$C$34,3)</f>
        <v>Biannual</v>
      </c>
      <c r="G38" s="80"/>
      <c r="H38" s="77"/>
      <c r="I38" s="3"/>
      <c r="J38" s="3"/>
      <c r="K38" s="3"/>
      <c r="L38" s="18"/>
      <c r="M38" s="70"/>
      <c r="N38" s="166"/>
      <c r="O38" s="150"/>
      <c r="P38" s="151"/>
      <c r="Q38" s="151"/>
      <c r="R38" s="151"/>
      <c r="S38" s="151"/>
      <c r="T38" s="152"/>
      <c r="U38" s="152"/>
      <c r="V38" s="152"/>
      <c r="W38" s="152"/>
      <c r="X38" s="153"/>
      <c r="Y38" s="153"/>
      <c r="Z38" s="153"/>
      <c r="AA38" s="153"/>
      <c r="AB38" s="154"/>
      <c r="AC38" s="154"/>
      <c r="AD38" s="23"/>
      <c r="AE38" s="23"/>
      <c r="AF38" s="154"/>
      <c r="AG38" s="27"/>
      <c r="AH38" s="27"/>
      <c r="AI38" s="27"/>
      <c r="AJ38" s="27"/>
      <c r="AK38" s="29"/>
      <c r="AL38" s="29"/>
      <c r="AM38" s="29"/>
      <c r="AN38" s="29"/>
      <c r="AO38" s="31"/>
      <c r="AP38" s="31"/>
      <c r="AQ38" s="31"/>
      <c r="AR38" s="31"/>
      <c r="AS38" s="151"/>
      <c r="AT38" s="152"/>
      <c r="AU38" s="152"/>
      <c r="AV38" s="152"/>
      <c r="AW38" s="152"/>
      <c r="AX38" s="153"/>
      <c r="AY38" s="153"/>
      <c r="AZ38" s="153"/>
      <c r="BA38" s="153"/>
      <c r="BB38" s="153"/>
      <c r="BC38" s="154"/>
      <c r="BD38" s="23"/>
      <c r="BE38" s="23"/>
      <c r="BF38" s="154"/>
      <c r="BG38" s="27"/>
      <c r="BH38" s="27"/>
      <c r="BI38" s="27"/>
      <c r="BJ38" s="27"/>
      <c r="BK38" s="29"/>
      <c r="BL38" s="29"/>
      <c r="BM38" s="29"/>
      <c r="BN38" s="29"/>
      <c r="BO38" s="33"/>
    </row>
    <row r="39" spans="1:67">
      <c r="A39" s="165"/>
      <c r="B39" s="148" t="s">
        <v>32</v>
      </c>
      <c r="C39" s="5" t="s">
        <v>33</v>
      </c>
      <c r="D39" s="2">
        <f>VLOOKUP(B39,Inputs!$I$6:$N$10,MATCH(C39,Inputs!$I$5:$N$5,0),0)</f>
        <v>15</v>
      </c>
      <c r="E39" s="2" t="str">
        <f>VLOOKUP(D39,Inputs!$A$10:$B$34,2)</f>
        <v>Medium</v>
      </c>
      <c r="F39" s="15" t="str">
        <f>VLOOKUP(D39,Inputs!$A$10:$C$34,3)</f>
        <v>Biannual</v>
      </c>
      <c r="G39" s="80"/>
      <c r="H39" s="77"/>
      <c r="I39" s="3"/>
      <c r="J39" s="3"/>
      <c r="K39" s="3"/>
      <c r="L39" s="18"/>
      <c r="M39" s="70"/>
      <c r="N39" s="166"/>
      <c r="O39" s="150"/>
      <c r="P39" s="151"/>
      <c r="Q39" s="151"/>
      <c r="R39" s="151"/>
      <c r="S39" s="151"/>
      <c r="T39" s="21"/>
      <c r="U39" s="152"/>
      <c r="V39" s="152"/>
      <c r="W39" s="152"/>
      <c r="X39" s="153"/>
      <c r="Y39" s="153"/>
      <c r="Z39" s="25"/>
      <c r="AA39" s="153"/>
      <c r="AB39" s="154"/>
      <c r="AC39" s="154"/>
      <c r="AD39" s="23"/>
      <c r="AE39" s="23"/>
      <c r="AF39" s="23"/>
      <c r="AG39" s="27"/>
      <c r="AH39" s="27"/>
      <c r="AI39" s="27"/>
      <c r="AJ39" s="27"/>
      <c r="AK39" s="29"/>
      <c r="AL39" s="29"/>
      <c r="AM39" s="29"/>
      <c r="AN39" s="29"/>
      <c r="AO39" s="31"/>
      <c r="AP39" s="31"/>
      <c r="AQ39" s="31"/>
      <c r="AR39" s="31"/>
      <c r="AS39" s="31"/>
      <c r="AT39" s="21"/>
      <c r="AU39" s="152"/>
      <c r="AV39" s="152"/>
      <c r="AW39" s="152"/>
      <c r="AX39" s="153"/>
      <c r="AY39" s="153"/>
      <c r="AZ39" s="25"/>
      <c r="BA39" s="153"/>
      <c r="BB39" s="153"/>
      <c r="BC39" s="154"/>
      <c r="BD39" s="23"/>
      <c r="BE39" s="23"/>
      <c r="BF39" s="23"/>
      <c r="BG39" s="27"/>
      <c r="BH39" s="27"/>
      <c r="BI39" s="27"/>
      <c r="BJ39" s="27"/>
      <c r="BK39" s="29"/>
      <c r="BL39" s="29"/>
      <c r="BM39" s="29"/>
      <c r="BN39" s="29"/>
      <c r="BO39" s="33"/>
    </row>
    <row r="40" spans="1:67" ht="12.95" thickBot="1">
      <c r="A40" s="175"/>
      <c r="B40" s="176" t="s">
        <v>32</v>
      </c>
      <c r="C40" s="41" t="s">
        <v>33</v>
      </c>
      <c r="D40" s="20">
        <f>VLOOKUP(B40,Inputs!$I$6:$N$10,MATCH(C40,Inputs!$I$5:$N$5,0),0)</f>
        <v>15</v>
      </c>
      <c r="E40" s="20" t="str">
        <f>VLOOKUP(D40,Inputs!$A$10:$B$34,2)</f>
        <v>Medium</v>
      </c>
      <c r="F40" s="42" t="str">
        <f>VLOOKUP(D40,Inputs!$A$10:$C$34,3)</f>
        <v>Biannual</v>
      </c>
      <c r="G40" s="81"/>
      <c r="H40" s="79"/>
      <c r="I40" s="16"/>
      <c r="J40" s="16"/>
      <c r="K40" s="16"/>
      <c r="L40" s="19"/>
      <c r="M40" s="71"/>
      <c r="N40" s="177"/>
      <c r="O40" s="178"/>
      <c r="P40" s="179"/>
      <c r="Q40" s="179"/>
      <c r="R40" s="179"/>
      <c r="S40" s="179"/>
      <c r="T40" s="22"/>
      <c r="U40" s="180"/>
      <c r="V40" s="180"/>
      <c r="W40" s="180"/>
      <c r="X40" s="181"/>
      <c r="Y40" s="181"/>
      <c r="Z40" s="26"/>
      <c r="AA40" s="181"/>
      <c r="AB40" s="182"/>
      <c r="AC40" s="182"/>
      <c r="AD40" s="24"/>
      <c r="AE40" s="24"/>
      <c r="AF40" s="24"/>
      <c r="AG40" s="28"/>
      <c r="AH40" s="28"/>
      <c r="AI40" s="183"/>
      <c r="AJ40" s="28"/>
      <c r="AK40" s="30"/>
      <c r="AL40" s="30"/>
      <c r="AM40" s="30"/>
      <c r="AN40" s="30"/>
      <c r="AO40" s="32"/>
      <c r="AP40" s="32"/>
      <c r="AQ40" s="32"/>
      <c r="AR40" s="32"/>
      <c r="AS40" s="32"/>
      <c r="AT40" s="22"/>
      <c r="AU40" s="180"/>
      <c r="AV40" s="180"/>
      <c r="AW40" s="180"/>
      <c r="AX40" s="181"/>
      <c r="AY40" s="181"/>
      <c r="AZ40" s="26"/>
      <c r="BA40" s="181"/>
      <c r="BB40" s="26"/>
      <c r="BC40" s="182"/>
      <c r="BD40" s="24"/>
      <c r="BE40" s="24"/>
      <c r="BF40" s="24"/>
      <c r="BG40" s="28"/>
      <c r="BH40" s="28"/>
      <c r="BI40" s="183"/>
      <c r="BJ40" s="28"/>
      <c r="BK40" s="30"/>
      <c r="BL40" s="30"/>
      <c r="BM40" s="30"/>
      <c r="BN40" s="30"/>
      <c r="BO40" s="34"/>
    </row>
    <row r="41" spans="1:67">
      <c r="A41" s="6"/>
    </row>
    <row r="42" spans="1:67">
      <c r="A42" s="6"/>
    </row>
    <row r="43" spans="1:67">
      <c r="A43" s="6"/>
    </row>
    <row r="44" spans="1:67">
      <c r="A44" s="6"/>
    </row>
    <row r="45" spans="1:67">
      <c r="A45" s="6"/>
    </row>
    <row r="46" spans="1:67">
      <c r="A46" s="6"/>
    </row>
    <row r="47" spans="1:67">
      <c r="A47" s="6"/>
    </row>
    <row r="48" spans="1:67">
      <c r="A48" s="6"/>
    </row>
    <row r="65" spans="1:13">
      <c r="A65" s="9"/>
      <c r="C65" s="9"/>
      <c r="D65" s="9"/>
      <c r="E65" s="9"/>
      <c r="F65" s="9"/>
      <c r="G65" s="9"/>
      <c r="H65" s="9"/>
      <c r="I65" s="10"/>
      <c r="J65" s="10"/>
      <c r="K65" s="10"/>
      <c r="L65" s="10"/>
      <c r="M65" s="10"/>
    </row>
  </sheetData>
  <sheetProtection formatCells="0" selectLockedCells="1"/>
  <mergeCells count="35">
    <mergeCell ref="A2:A4"/>
    <mergeCell ref="A1:F1"/>
    <mergeCell ref="H3:H4"/>
    <mergeCell ref="A5:BO5"/>
    <mergeCell ref="O3:S3"/>
    <mergeCell ref="T3:W3"/>
    <mergeCell ref="X3:AA3"/>
    <mergeCell ref="AB3:AF3"/>
    <mergeCell ref="AG3:AJ3"/>
    <mergeCell ref="AK3:AN3"/>
    <mergeCell ref="N2:N4"/>
    <mergeCell ref="F2:F4"/>
    <mergeCell ref="E2:E4"/>
    <mergeCell ref="C2:C4"/>
    <mergeCell ref="L3:L4"/>
    <mergeCell ref="BC3:BF3"/>
    <mergeCell ref="AX3:BB3"/>
    <mergeCell ref="G2:G4"/>
    <mergeCell ref="B2:B4"/>
    <mergeCell ref="A35:BO35"/>
    <mergeCell ref="BK3:BO3"/>
    <mergeCell ref="M3:M4"/>
    <mergeCell ref="O2:BO2"/>
    <mergeCell ref="AO3:AS3"/>
    <mergeCell ref="AT3:AW3"/>
    <mergeCell ref="BG3:BJ3"/>
    <mergeCell ref="K3:K4"/>
    <mergeCell ref="A11:BO11"/>
    <mergeCell ref="A17:BO17"/>
    <mergeCell ref="A23:BO23"/>
    <mergeCell ref="A29:BO29"/>
    <mergeCell ref="D2:D4"/>
    <mergeCell ref="H2:M2"/>
    <mergeCell ref="I3:I4"/>
    <mergeCell ref="J3:J4"/>
  </mergeCells>
  <phoneticPr fontId="2" type="noConversion"/>
  <conditionalFormatting sqref="H6:M10 H12:M16 H18:M22 H24:M28 H30:M34 H36:M40">
    <cfRule type="notContainsBlanks" dxfId="16" priority="28">
      <formula>LEN(TRIM(H6))&gt;0</formula>
    </cfRule>
  </conditionalFormatting>
  <conditionalFormatting sqref="O6:BO10">
    <cfRule type="notContainsBlanks" dxfId="15" priority="13">
      <formula>LEN(TRIM(O6))&gt;0</formula>
    </cfRule>
  </conditionalFormatting>
  <conditionalFormatting sqref="O12:BA16 BC12:BO16">
    <cfRule type="notContainsBlanks" dxfId="14" priority="12">
      <formula>LEN(TRIM(O12))&gt;0</formula>
    </cfRule>
  </conditionalFormatting>
  <conditionalFormatting sqref="O18:BA22 BC18:BO22">
    <cfRule type="notContainsBlanks" dxfId="13" priority="11">
      <formula>LEN(TRIM(O18))&gt;0</formula>
    </cfRule>
  </conditionalFormatting>
  <conditionalFormatting sqref="O24:BA28 BC24:BO28">
    <cfRule type="notContainsBlanks" dxfId="12" priority="10">
      <formula>LEN(TRIM(O24))&gt;0</formula>
    </cfRule>
  </conditionalFormatting>
  <conditionalFormatting sqref="O30:BA34 BC30:BO34">
    <cfRule type="notContainsBlanks" dxfId="11" priority="9">
      <formula>LEN(TRIM(O30))&gt;0</formula>
    </cfRule>
  </conditionalFormatting>
  <conditionalFormatting sqref="O36:BA40 BC36:BO40">
    <cfRule type="notContainsBlanks" dxfId="10" priority="7">
      <formula>LEN(TRIM(O36))&gt;0</formula>
    </cfRule>
  </conditionalFormatting>
  <conditionalFormatting sqref="BB12:BB16">
    <cfRule type="notContainsBlanks" dxfId="9" priority="6">
      <formula>LEN(TRIM(BB12))&gt;0</formula>
    </cfRule>
  </conditionalFormatting>
  <conditionalFormatting sqref="BB18:BB22">
    <cfRule type="notContainsBlanks" dxfId="8" priority="5">
      <formula>LEN(TRIM(BB18))&gt;0</formula>
    </cfRule>
  </conditionalFormatting>
  <conditionalFormatting sqref="BB24:BB28">
    <cfRule type="notContainsBlanks" dxfId="7" priority="4">
      <formula>LEN(TRIM(BB24))&gt;0</formula>
    </cfRule>
  </conditionalFormatting>
  <conditionalFormatting sqref="BB30:BB34">
    <cfRule type="notContainsBlanks" dxfId="6" priority="3">
      <formula>LEN(TRIM(BB30))&gt;0</formula>
    </cfRule>
  </conditionalFormatting>
  <conditionalFormatting sqref="BB36:BB39">
    <cfRule type="notContainsBlanks" dxfId="5" priority="2">
      <formula>LEN(TRIM(BB36))&gt;0</formula>
    </cfRule>
  </conditionalFormatting>
  <conditionalFormatting sqref="BB40">
    <cfRule type="notContainsBlanks" dxfId="4" priority="1">
      <formula>LEN(TRIM(BB40))&gt;0</formula>
    </cfRule>
  </conditionalFormatting>
  <dataValidations count="2">
    <dataValidation type="list" allowBlank="1" showInputMessage="1" showErrorMessage="1" sqref="B56:B61" xr:uid="{00000000-0002-0000-0100-000000000000}">
      <formula1>Status</formula1>
    </dataValidation>
    <dataValidation type="list" allowBlank="1" showInputMessage="1" showErrorMessage="1" sqref="C56:C61" xr:uid="{00000000-0002-0000-0100-000001000000}">
      <formula1>Importance</formula1>
    </dataValidation>
  </dataValidations>
  <pageMargins left="0.15748031496062992" right="0.15748031496062992" top="0.23622047244094491" bottom="0.19685039370078741" header="0.15748031496062992" footer="0.15748031496062992"/>
  <pageSetup paperSize="9" scale="83" orientation="landscape" r:id="rId1"/>
  <headerFooter alignWithMargins="0"/>
  <extLst>
    <ext xmlns:x14="http://schemas.microsoft.com/office/spreadsheetml/2009/9/main" uri="{78C0D931-6437-407d-A8EE-F0AAD7539E65}">
      <x14:conditionalFormattings>
        <x14:conditionalFormatting xmlns:xm="http://schemas.microsoft.com/office/excel/2006/main">
          <x14:cfRule type="containsText" priority="25" stopIfTrue="1" operator="containsText" id="{F04F10AA-B469-4EDA-8578-5007EFE085E8}">
            <xm:f>NOT(ISERROR(SEARCH(Inputs!$B$32,E6)))</xm:f>
            <xm:f>Inputs!$B$32</xm:f>
            <x14:dxf>
              <fill>
                <patternFill>
                  <bgColor rgb="FFE0301E"/>
                </patternFill>
              </fill>
            </x14:dxf>
          </x14:cfRule>
          <x14:cfRule type="containsText" priority="26" stopIfTrue="1" operator="containsText" id="{3264DD70-CCD2-47B6-853C-6A73C129B3D6}">
            <xm:f>NOT(ISERROR(SEARCH(Inputs!$B$26,E6)))</xm:f>
            <xm:f>Inputs!$B$26</xm:f>
            <x14:dxf>
              <fill>
                <patternFill>
                  <bgColor rgb="FFFFC000"/>
                </patternFill>
              </fill>
            </x14:dxf>
          </x14:cfRule>
          <x14:cfRule type="containsText" priority="27" stopIfTrue="1" operator="containsText" id="{1E8FFFF2-BB8B-41CA-8339-DE4A50A7A566}">
            <xm:f>NOT(ISERROR(SEARCH(Inputs!$B$17,E6)))</xm:f>
            <xm:f>Inputs!$B$17</xm:f>
            <x14:dxf>
              <fill>
                <patternFill>
                  <bgColor rgb="FFFFFF00"/>
                </patternFill>
              </fill>
            </x14:dxf>
          </x14:cfRule>
          <xm:sqref>E6:E10 E12:E16 E18:E22 E24:E28 E30:E34 E36:E40 E56:E61</xm:sqref>
        </x14:conditionalFormatting>
        <x14:conditionalFormatting xmlns:xm="http://schemas.microsoft.com/office/excel/2006/main">
          <x14:cfRule type="containsText" priority="15" stopIfTrue="1" operator="containsText" id="{F8C20AD9-9D0A-4D0C-AEA6-89D3E897D33B}">
            <xm:f>NOT(ISERROR(SEARCH(Inputs!$B$10,E6)))</xm:f>
            <xm:f>Inputs!$B$10</xm:f>
            <x14:dxf>
              <fill>
                <patternFill>
                  <bgColor rgb="FF92D050"/>
                </patternFill>
              </fill>
            </x14:dxf>
          </x14:cfRule>
          <xm:sqref>E6:E10 E12:E16 E18:E22 E24:E28 E30:E34 E36:E40</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2000000}">
          <x14:formula1>
            <xm:f>Inputs!$A$3:$A$7</xm:f>
          </x14:formula1>
          <xm:sqref>B6:B40</xm:sqref>
        </x14:dataValidation>
        <x14:dataValidation type="list" allowBlank="1" showInputMessage="1" showErrorMessage="1" xr:uid="{00000000-0002-0000-0100-000003000000}">
          <x14:formula1>
            <xm:f>Inputs!$B$3:$B$7</xm:f>
          </x14:formula1>
          <xm:sqref>C6:C40</xm:sqref>
        </x14:dataValidation>
        <x14:dataValidation type="list" allowBlank="1" showInputMessage="1" showErrorMessage="1" xr:uid="{00000000-0002-0000-0100-000004000000}">
          <x14:formula1>
            <xm:f>Inputs!$F$10:$F$16</xm:f>
          </x14:formula1>
          <xm:sqref>N6:N40</xm:sqref>
        </x14:dataValidation>
        <x14:dataValidation type="list" allowBlank="1" showInputMessage="1" showErrorMessage="1" xr:uid="{00000000-0002-0000-0100-000005000000}">
          <x14:formula1>
            <xm:f>Inputs!$E$19:$E$26</xm:f>
          </x14:formula1>
          <xm:sqref>G6:G10 G12:G16 G18:G22 G24:G28 G30:G34 G36:G40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0"/>
  <sheetViews>
    <sheetView topLeftCell="A15" workbookViewId="0">
      <selection activeCell="E28" sqref="E28"/>
    </sheetView>
  </sheetViews>
  <sheetFormatPr defaultRowHeight="12.6"/>
  <cols>
    <col min="1" max="1" width="10.42578125" bestFit="1" customWidth="1"/>
    <col min="2" max="2" width="10.7109375" bestFit="1" customWidth="1"/>
    <col min="4" max="4" width="9.7109375" bestFit="1" customWidth="1"/>
    <col min="5" max="5" width="17" bestFit="1" customWidth="1"/>
    <col min="8" max="8" width="10.42578125" bestFit="1" customWidth="1"/>
    <col min="9" max="14" width="11.28515625" customWidth="1"/>
  </cols>
  <sheetData>
    <row r="1" spans="1:14" ht="12.95" thickBot="1"/>
    <row r="2" spans="1:14" ht="12.95">
      <c r="A2" s="39" t="s">
        <v>11</v>
      </c>
      <c r="B2" s="40" t="s">
        <v>12</v>
      </c>
    </row>
    <row r="3" spans="1:14">
      <c r="A3" s="35" t="s">
        <v>32</v>
      </c>
      <c r="B3" s="36" t="s">
        <v>33</v>
      </c>
    </row>
    <row r="4" spans="1:14" ht="12.95">
      <c r="A4" s="35" t="s">
        <v>34</v>
      </c>
      <c r="B4" s="36" t="s">
        <v>35</v>
      </c>
      <c r="J4" s="17" t="s">
        <v>12</v>
      </c>
    </row>
    <row r="5" spans="1:14" ht="12.95">
      <c r="A5" s="35" t="s">
        <v>36</v>
      </c>
      <c r="B5" s="36" t="s">
        <v>37</v>
      </c>
      <c r="I5" s="17" t="s">
        <v>11</v>
      </c>
      <c r="J5" s="1" t="str">
        <f>B7</f>
        <v>Insignificant</v>
      </c>
      <c r="K5" s="1" t="str">
        <f>B6</f>
        <v>Minor</v>
      </c>
      <c r="L5" s="1" t="str">
        <f>B5</f>
        <v>Moderate</v>
      </c>
      <c r="M5" s="1" t="str">
        <f>B4</f>
        <v>Major</v>
      </c>
      <c r="N5" s="1" t="str">
        <f>B3</f>
        <v>Critical</v>
      </c>
    </row>
    <row r="6" spans="1:14">
      <c r="A6" s="35" t="s">
        <v>38</v>
      </c>
      <c r="B6" s="36" t="s">
        <v>39</v>
      </c>
      <c r="I6" s="1" t="str">
        <f>A7</f>
        <v>Nonexistant</v>
      </c>
      <c r="J6" s="11">
        <v>11</v>
      </c>
      <c r="K6" s="11">
        <v>16</v>
      </c>
      <c r="L6" s="14">
        <v>20</v>
      </c>
      <c r="M6" s="12">
        <v>23</v>
      </c>
      <c r="N6" s="12">
        <v>25</v>
      </c>
    </row>
    <row r="7" spans="1:14" ht="12.95" thickBot="1">
      <c r="A7" s="37" t="s">
        <v>40</v>
      </c>
      <c r="B7" s="38" t="s">
        <v>41</v>
      </c>
      <c r="I7" s="1" t="str">
        <f>A6</f>
        <v>Poor</v>
      </c>
      <c r="J7" s="13">
        <v>7</v>
      </c>
      <c r="K7" s="11">
        <v>12</v>
      </c>
      <c r="L7" s="14">
        <v>17</v>
      </c>
      <c r="M7" s="14">
        <v>21</v>
      </c>
      <c r="N7" s="12">
        <v>24</v>
      </c>
    </row>
    <row r="8" spans="1:14" ht="12.95" thickBot="1">
      <c r="I8" s="1" t="str">
        <f>A5</f>
        <v>Reasonable</v>
      </c>
      <c r="J8" s="13">
        <v>4</v>
      </c>
      <c r="K8" s="11">
        <v>8</v>
      </c>
      <c r="L8" s="11">
        <v>13</v>
      </c>
      <c r="M8" s="14">
        <v>18</v>
      </c>
      <c r="N8" s="14">
        <v>22</v>
      </c>
    </row>
    <row r="9" spans="1:14" ht="12.95">
      <c r="A9" s="39" t="s">
        <v>14</v>
      </c>
      <c r="B9" s="85" t="s">
        <v>14</v>
      </c>
      <c r="C9" s="40"/>
      <c r="E9" s="39" t="s">
        <v>42</v>
      </c>
      <c r="F9" s="40" t="s">
        <v>43</v>
      </c>
      <c r="I9" s="1" t="str">
        <f>A4</f>
        <v>Good</v>
      </c>
      <c r="J9" s="13">
        <v>2</v>
      </c>
      <c r="K9" s="13">
        <v>5</v>
      </c>
      <c r="L9" s="11">
        <v>9</v>
      </c>
      <c r="M9" s="11">
        <v>14</v>
      </c>
      <c r="N9" s="14">
        <v>19</v>
      </c>
    </row>
    <row r="10" spans="1:14">
      <c r="A10" s="35">
        <v>1</v>
      </c>
      <c r="B10" s="184" t="s">
        <v>44</v>
      </c>
      <c r="C10" s="185" t="str">
        <f>B37</f>
        <v>Annual</v>
      </c>
      <c r="E10" s="186" t="s">
        <v>45</v>
      </c>
      <c r="F10" s="185" t="s">
        <v>46</v>
      </c>
      <c r="I10" s="1" t="str">
        <f>A3</f>
        <v>Excellent</v>
      </c>
      <c r="J10" s="13">
        <v>1</v>
      </c>
      <c r="K10" s="13">
        <v>3</v>
      </c>
      <c r="L10" s="13">
        <v>6</v>
      </c>
      <c r="M10" s="11">
        <v>10</v>
      </c>
      <c r="N10" s="11">
        <v>15</v>
      </c>
    </row>
    <row r="11" spans="1:14">
      <c r="A11" s="35">
        <v>2</v>
      </c>
      <c r="B11" s="184" t="s">
        <v>44</v>
      </c>
      <c r="C11" s="185" t="str">
        <f>B37</f>
        <v>Annual</v>
      </c>
      <c r="E11" s="186" t="s">
        <v>45</v>
      </c>
      <c r="F11" s="185" t="s">
        <v>46</v>
      </c>
    </row>
    <row r="12" spans="1:14">
      <c r="A12" s="35">
        <v>3</v>
      </c>
      <c r="B12" s="184" t="s">
        <v>44</v>
      </c>
      <c r="C12" s="185" t="str">
        <f>B37</f>
        <v>Annual</v>
      </c>
      <c r="E12" s="186" t="s">
        <v>45</v>
      </c>
      <c r="F12" s="185" t="s">
        <v>46</v>
      </c>
    </row>
    <row r="13" spans="1:14">
      <c r="A13" s="35">
        <v>4</v>
      </c>
      <c r="B13" s="184" t="s">
        <v>44</v>
      </c>
      <c r="C13" s="185" t="str">
        <f>B37</f>
        <v>Annual</v>
      </c>
      <c r="E13" s="186" t="s">
        <v>45</v>
      </c>
      <c r="F13" s="185" t="s">
        <v>46</v>
      </c>
    </row>
    <row r="14" spans="1:14">
      <c r="A14" s="35">
        <v>5</v>
      </c>
      <c r="B14" s="184" t="s">
        <v>44</v>
      </c>
      <c r="C14" s="185" t="str">
        <f>B37</f>
        <v>Annual</v>
      </c>
      <c r="E14" s="186" t="s">
        <v>45</v>
      </c>
      <c r="F14" s="185" t="s">
        <v>46</v>
      </c>
    </row>
    <row r="15" spans="1:14">
      <c r="A15" s="35">
        <v>6</v>
      </c>
      <c r="B15" s="184" t="s">
        <v>44</v>
      </c>
      <c r="C15" s="185" t="str">
        <f>B37</f>
        <v>Annual</v>
      </c>
      <c r="E15" s="186" t="s">
        <v>45</v>
      </c>
      <c r="F15" s="185" t="s">
        <v>46</v>
      </c>
    </row>
    <row r="16" spans="1:14" ht="12.95" thickBot="1">
      <c r="A16" s="35">
        <v>7</v>
      </c>
      <c r="B16" s="184" t="s">
        <v>44</v>
      </c>
      <c r="C16" s="185" t="str">
        <f>B37</f>
        <v>Annual</v>
      </c>
      <c r="E16" s="187" t="s">
        <v>45</v>
      </c>
      <c r="F16" s="188" t="s">
        <v>46</v>
      </c>
    </row>
    <row r="17" spans="1:10" ht="12.95" thickBot="1">
      <c r="A17" s="35">
        <v>8</v>
      </c>
      <c r="B17" s="184" t="s">
        <v>47</v>
      </c>
      <c r="C17" s="185" t="str">
        <f>B38</f>
        <v>Biannual</v>
      </c>
    </row>
    <row r="18" spans="1:10" ht="12.95">
      <c r="A18" s="35">
        <v>9</v>
      </c>
      <c r="B18" s="184" t="s">
        <v>47</v>
      </c>
      <c r="C18" s="185" t="str">
        <f>B38</f>
        <v>Biannual</v>
      </c>
      <c r="E18" s="84" t="s">
        <v>16</v>
      </c>
    </row>
    <row r="19" spans="1:10">
      <c r="A19" s="35">
        <v>10</v>
      </c>
      <c r="B19" s="184" t="s">
        <v>47</v>
      </c>
      <c r="C19" s="185" t="str">
        <f>B38</f>
        <v>Biannual</v>
      </c>
      <c r="E19" s="189" t="s">
        <v>48</v>
      </c>
    </row>
    <row r="20" spans="1:10">
      <c r="A20" s="35">
        <v>11</v>
      </c>
      <c r="B20" s="184" t="s">
        <v>47</v>
      </c>
      <c r="C20" s="185" t="str">
        <f>B38</f>
        <v>Biannual</v>
      </c>
      <c r="E20" s="189" t="s">
        <v>49</v>
      </c>
      <c r="J20" s="190"/>
    </row>
    <row r="21" spans="1:10">
      <c r="A21" s="35">
        <v>12</v>
      </c>
      <c r="B21" s="184" t="s">
        <v>47</v>
      </c>
      <c r="C21" s="185" t="str">
        <f>B38</f>
        <v>Biannual</v>
      </c>
      <c r="E21" s="189" t="s">
        <v>50</v>
      </c>
      <c r="J21" s="190"/>
    </row>
    <row r="22" spans="1:10">
      <c r="A22" s="35">
        <v>13</v>
      </c>
      <c r="B22" s="184" t="s">
        <v>47</v>
      </c>
      <c r="C22" s="185" t="str">
        <f>B38</f>
        <v>Biannual</v>
      </c>
      <c r="E22" s="189" t="s">
        <v>51</v>
      </c>
      <c r="J22" s="190"/>
    </row>
    <row r="23" spans="1:10">
      <c r="A23" s="35">
        <v>14</v>
      </c>
      <c r="B23" s="184" t="s">
        <v>47</v>
      </c>
      <c r="C23" s="185" t="str">
        <f>B38</f>
        <v>Biannual</v>
      </c>
      <c r="E23" s="189" t="s">
        <v>52</v>
      </c>
      <c r="J23" s="190"/>
    </row>
    <row r="24" spans="1:10">
      <c r="A24" s="35">
        <v>15</v>
      </c>
      <c r="B24" s="184" t="s">
        <v>47</v>
      </c>
      <c r="C24" s="185" t="str">
        <f>B38</f>
        <v>Biannual</v>
      </c>
      <c r="E24" s="189" t="s">
        <v>53</v>
      </c>
      <c r="J24" s="190"/>
    </row>
    <row r="25" spans="1:10">
      <c r="A25" s="35">
        <v>16</v>
      </c>
      <c r="B25" s="184" t="s">
        <v>47</v>
      </c>
      <c r="C25" s="185" t="str">
        <f>B38</f>
        <v>Biannual</v>
      </c>
      <c r="E25" s="189" t="s">
        <v>54</v>
      </c>
      <c r="J25" s="190"/>
    </row>
    <row r="26" spans="1:10" ht="12.95" thickBot="1">
      <c r="A26" s="35">
        <v>17</v>
      </c>
      <c r="B26" s="184" t="s">
        <v>55</v>
      </c>
      <c r="C26" s="185" t="str">
        <f>B39</f>
        <v>Quarterly</v>
      </c>
      <c r="E26" s="191" t="s">
        <v>56</v>
      </c>
    </row>
    <row r="27" spans="1:10">
      <c r="A27" s="35">
        <v>18</v>
      </c>
      <c r="B27" s="184" t="s">
        <v>55</v>
      </c>
      <c r="C27" s="185" t="str">
        <f>B39</f>
        <v>Quarterly</v>
      </c>
    </row>
    <row r="28" spans="1:10">
      <c r="A28" s="35">
        <v>19</v>
      </c>
      <c r="B28" s="184" t="s">
        <v>55</v>
      </c>
      <c r="C28" s="185" t="str">
        <f>B39</f>
        <v>Quarterly</v>
      </c>
    </row>
    <row r="29" spans="1:10">
      <c r="A29" s="35">
        <v>20</v>
      </c>
      <c r="B29" s="184" t="s">
        <v>55</v>
      </c>
      <c r="C29" s="185" t="str">
        <f>B39</f>
        <v>Quarterly</v>
      </c>
    </row>
    <row r="30" spans="1:10">
      <c r="A30" s="35">
        <v>21</v>
      </c>
      <c r="B30" s="184" t="s">
        <v>55</v>
      </c>
      <c r="C30" s="185" t="str">
        <f>B39</f>
        <v>Quarterly</v>
      </c>
    </row>
    <row r="31" spans="1:10">
      <c r="A31" s="35">
        <v>22</v>
      </c>
      <c r="B31" s="184" t="s">
        <v>55</v>
      </c>
      <c r="C31" s="185" t="str">
        <f>B39</f>
        <v>Quarterly</v>
      </c>
    </row>
    <row r="32" spans="1:10">
      <c r="A32" s="35">
        <v>23</v>
      </c>
      <c r="B32" s="184" t="s">
        <v>57</v>
      </c>
      <c r="C32" s="185" t="str">
        <f>B40</f>
        <v>Monthly</v>
      </c>
    </row>
    <row r="33" spans="1:3">
      <c r="A33" s="35">
        <v>24</v>
      </c>
      <c r="B33" s="184" t="s">
        <v>57</v>
      </c>
      <c r="C33" s="185" t="str">
        <f>B40</f>
        <v>Monthly</v>
      </c>
    </row>
    <row r="34" spans="1:3" ht="12.95" thickBot="1">
      <c r="A34" s="37">
        <v>25</v>
      </c>
      <c r="B34" s="192" t="s">
        <v>57</v>
      </c>
      <c r="C34" s="188" t="str">
        <f>B40</f>
        <v>Monthly</v>
      </c>
    </row>
    <row r="35" spans="1:3" ht="12.95" thickBot="1"/>
    <row r="36" spans="1:3" ht="12.95">
      <c r="A36" s="39" t="s">
        <v>14</v>
      </c>
      <c r="B36" s="40" t="s">
        <v>58</v>
      </c>
    </row>
    <row r="37" spans="1:3">
      <c r="A37" s="186" t="s">
        <v>44</v>
      </c>
      <c r="B37" s="185" t="s">
        <v>59</v>
      </c>
    </row>
    <row r="38" spans="1:3">
      <c r="A38" s="186" t="s">
        <v>47</v>
      </c>
      <c r="B38" s="185" t="s">
        <v>60</v>
      </c>
    </row>
    <row r="39" spans="1:3">
      <c r="A39" s="186" t="s">
        <v>55</v>
      </c>
      <c r="B39" s="185" t="s">
        <v>61</v>
      </c>
    </row>
    <row r="40" spans="1:3" ht="12.95" thickBot="1">
      <c r="A40" s="187" t="s">
        <v>57</v>
      </c>
      <c r="B40" s="188" t="s">
        <v>62</v>
      </c>
    </row>
  </sheetData>
  <sortState xmlns:xlrd2="http://schemas.microsoft.com/office/spreadsheetml/2017/richdata2" ref="E19:E26">
    <sortCondition ref="E19"/>
  </sortState>
  <phoneticPr fontId="2" type="noConversion"/>
  <pageMargins left="0.75" right="0.75" top="1" bottom="1" header="0.5" footer="0.5"/>
  <pageSetup paperSize="9" orientation="portrait" verticalDpi="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13a8c84-6de5-478a-917b-ee79185f55a0">
      <Terms xmlns="http://schemas.microsoft.com/office/infopath/2007/PartnerControls"/>
    </lcf76f155ced4ddcb4097134ff3c332f>
    <TaxCatchAll xmlns="76c0568a-3513-4ded-a32d-cefb103719d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39D33C06BCC92479116F3495E03BC09" ma:contentTypeVersion="14" ma:contentTypeDescription="Create a new document." ma:contentTypeScope="" ma:versionID="af78686b3b9189b9f84bb0ed03638c06">
  <xsd:schema xmlns:xsd="http://www.w3.org/2001/XMLSchema" xmlns:xs="http://www.w3.org/2001/XMLSchema" xmlns:p="http://schemas.microsoft.com/office/2006/metadata/properties" xmlns:ns2="913a8c84-6de5-478a-917b-ee79185f55a0" xmlns:ns3="76c0568a-3513-4ded-a32d-cefb103719d4" targetNamespace="http://schemas.microsoft.com/office/2006/metadata/properties" ma:root="true" ma:fieldsID="cf492f11c64e1e7986a655a0970a01c8" ns2:_="" ns3:_="">
    <xsd:import namespace="913a8c84-6de5-478a-917b-ee79185f55a0"/>
    <xsd:import namespace="76c0568a-3513-4ded-a32d-cefb103719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3a8c84-6de5-478a-917b-ee79185f55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38274-8590-4664-b4fa-8696faed4a6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c0568a-3513-4ded-a32d-cefb103719d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c0d7-d74f-45b9-825e-cdebe6fa9022}" ma:internalName="TaxCatchAll" ma:showField="CatchAllData" ma:web="76c0568a-3513-4ded-a32d-cefb103719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1CEB14-F6D1-4D0F-A204-A1A01003EF91}"/>
</file>

<file path=customXml/itemProps2.xml><?xml version="1.0" encoding="utf-8"?>
<ds:datastoreItem xmlns:ds="http://schemas.openxmlformats.org/officeDocument/2006/customXml" ds:itemID="{957DE22E-C2AF-4130-9FBA-7D74CE1CDBE9}"/>
</file>

<file path=customXml/itemProps3.xml><?xml version="1.0" encoding="utf-8"?>
<ds:datastoreItem xmlns:ds="http://schemas.openxmlformats.org/officeDocument/2006/customXml" ds:itemID="{7EFA1284-B52A-4AB4-91FE-EB32C3CCC374}"/>
</file>

<file path=docProps/app.xml><?xml version="1.0" encoding="utf-8"?>
<Properties xmlns="http://schemas.openxmlformats.org/officeDocument/2006/extended-properties" xmlns:vt="http://schemas.openxmlformats.org/officeDocument/2006/docPropsVTypes">
  <Application>Microsoft Excel Online</Application>
  <Manager/>
  <Company>TAFE Queensland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chesherb</dc:creator>
  <cp:keywords/>
  <dc:description/>
  <cp:lastModifiedBy>Tom Barham</cp:lastModifiedBy>
  <cp:revision/>
  <dcterms:created xsi:type="dcterms:W3CDTF">2010-05-14T05:48:42Z</dcterms:created>
  <dcterms:modified xsi:type="dcterms:W3CDTF">2024-12-05T12:26:08Z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0x010100739D33C06BCC92479116F3495E03BC09</vt:lpwstr>
  </property>
  <property fmtid="{D5CDD505-2E9C-101B-9397-08002B2CF9AE}" pid="3" name="MediaServiceImageTags">
    <vt:lpwstr/>
  </property>
  <property fmtid="{D5CDD505-2E9C-101B-9397-08002B2CF9AE}" pid="4" name="Order">
    <vt:r8>11100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ies>
</file>